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Bf-20200515mmok\邬登峰的共享\报表\1-台均\5月\5.1-5.7\分公司\"/>
    </mc:Choice>
  </mc:AlternateContent>
  <xr:revisionPtr revIDLastSave="0" documentId="8_{4E883733-2ED3-429F-A012-8E666C9C679D}" xr6:coauthVersionLast="46" xr6:coauthVersionMax="46" xr10:uidLastSave="{00000000-0000-0000-0000-000000000000}"/>
  <bookViews>
    <workbookView xWindow="-120" yWindow="-120" windowWidth="29040" windowHeight="15840" xr2:uid="{2D054ED3-2072-45D8-A7C8-FE81FF5E203B}"/>
  </bookViews>
  <sheets>
    <sheet name="统计口径" sheetId="8" r:id="rId1"/>
    <sheet name="拉卡拉大POS机台均" sheetId="1" r:id="rId2"/>
    <sheet name="拉卡拉电签4G版台均" sheetId="2" r:id="rId3"/>
    <sheet name="拉卡拉电签台均" sheetId="3" r:id="rId4"/>
    <sheet name="拉卡拉智能机台均" sheetId="4" r:id="rId5"/>
    <sheet name="拉卡拉电签4G版明细" sheetId="5" r:id="rId6"/>
    <sheet name="拉卡拉大POS机明细" sheetId="6" r:id="rId7"/>
    <sheet name="拉卡拉电签明细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4" l="1"/>
  <c r="M2" i="4" s="1"/>
  <c r="J2" i="4"/>
  <c r="K2" i="4" s="1"/>
  <c r="I2" i="4"/>
  <c r="G2" i="4"/>
  <c r="F2" i="4"/>
  <c r="L2" i="3"/>
  <c r="M2" i="3" s="1"/>
  <c r="J2" i="3"/>
  <c r="K2" i="3" s="1"/>
  <c r="I2" i="3"/>
  <c r="G2" i="3"/>
  <c r="F2" i="3"/>
  <c r="L2" i="2"/>
  <c r="M2" i="2" s="1"/>
  <c r="J2" i="2"/>
  <c r="K2" i="2" s="1"/>
  <c r="I2" i="2"/>
  <c r="G2" i="2"/>
  <c r="F2" i="2"/>
  <c r="L2" i="1"/>
  <c r="M2" i="1" s="1"/>
  <c r="J2" i="1"/>
  <c r="K2" i="1" s="1"/>
  <c r="I2" i="1"/>
  <c r="G2" i="1"/>
  <c r="H2" i="1" s="1"/>
  <c r="F2" i="1"/>
  <c r="H2" i="4" l="1"/>
  <c r="H2" i="3"/>
  <c r="H2" i="2"/>
</calcChain>
</file>

<file path=xl/sharedStrings.xml><?xml version="1.0" encoding="utf-8"?>
<sst xmlns="http://schemas.openxmlformats.org/spreadsheetml/2006/main" count="3979" uniqueCount="600">
  <si>
    <t>台均时间段</t>
  </si>
  <si>
    <t>产品</t>
  </si>
  <si>
    <t>分公司</t>
  </si>
  <si>
    <t>经理</t>
  </si>
  <si>
    <t>队员</t>
  </si>
  <si>
    <t>队员编号</t>
  </si>
  <si>
    <t>截止5.7
累计激活</t>
  </si>
  <si>
    <t>5.1-5.7
总交易</t>
  </si>
  <si>
    <t>5.1-5.7
台均</t>
  </si>
  <si>
    <t>5.1-5.7
激活</t>
  </si>
  <si>
    <t>5.1-5.7
激活未交易</t>
  </si>
  <si>
    <t>未交易比</t>
  </si>
  <si>
    <t>5.1-5.7激活
5.1-5.7交易金额</t>
  </si>
  <si>
    <t>5.1-5.7激活
5.1-5.7台均</t>
  </si>
  <si>
    <t>产品后台</t>
  </si>
  <si>
    <t>归属</t>
  </si>
  <si>
    <t>分公司后台</t>
  </si>
  <si>
    <t>210501-210507</t>
  </si>
  <si>
    <t>拉卡拉大POS机</t>
  </si>
  <si>
    <t>重庆中玺汇远</t>
  </si>
  <si>
    <t>0</t>
  </si>
  <si>
    <t>饶汗青</t>
  </si>
  <si>
    <t>20390225</t>
  </si>
  <si>
    <t>拉卡拉大POS2021版Z</t>
  </si>
  <si>
    <t>纵队</t>
  </si>
  <si>
    <t>程晓梅</t>
  </si>
  <si>
    <t>21414926</t>
  </si>
  <si>
    <t>黄浩</t>
  </si>
  <si>
    <t>21402212</t>
  </si>
  <si>
    <t>张家勉</t>
  </si>
  <si>
    <t>20390234</t>
  </si>
  <si>
    <t>谭家伦</t>
  </si>
  <si>
    <t>21423640</t>
  </si>
  <si>
    <t>秦源</t>
  </si>
  <si>
    <t>20390223</t>
  </si>
  <si>
    <t>李玉强</t>
  </si>
  <si>
    <t>21414939</t>
  </si>
  <si>
    <t>杨思羿</t>
  </si>
  <si>
    <t>20394678</t>
  </si>
  <si>
    <t>刘鑫</t>
  </si>
  <si>
    <t>21414908</t>
  </si>
  <si>
    <t>岳文龙</t>
  </si>
  <si>
    <t>20389632</t>
  </si>
  <si>
    <t>李彪</t>
  </si>
  <si>
    <t>20391397</t>
  </si>
  <si>
    <t>郭盛</t>
  </si>
  <si>
    <t>20390307</t>
  </si>
  <si>
    <t>黄山杭</t>
  </si>
  <si>
    <t>21414316</t>
  </si>
  <si>
    <t>刘佳</t>
  </si>
  <si>
    <t>21421523</t>
  </si>
  <si>
    <t>李广深</t>
  </si>
  <si>
    <t>20392167</t>
  </si>
  <si>
    <t>何维豪</t>
  </si>
  <si>
    <t>21398596</t>
  </si>
  <si>
    <t>童钧</t>
  </si>
  <si>
    <t>21400083</t>
  </si>
  <si>
    <t>李道胜</t>
  </si>
  <si>
    <t>21417202</t>
  </si>
  <si>
    <t>雷刚</t>
  </si>
  <si>
    <t>21414916</t>
  </si>
  <si>
    <t>李保明</t>
  </si>
  <si>
    <t>20408750</t>
  </si>
  <si>
    <t>何小凤</t>
  </si>
  <si>
    <t>20442475</t>
  </si>
  <si>
    <t>高章明</t>
  </si>
  <si>
    <t>20392180</t>
  </si>
  <si>
    <t>王艺洁</t>
  </si>
  <si>
    <t>20395178</t>
  </si>
  <si>
    <t>陆启鹏</t>
  </si>
  <si>
    <t>21414913</t>
  </si>
  <si>
    <t>吕超</t>
  </si>
  <si>
    <t>21414914</t>
  </si>
  <si>
    <t>曹恩华</t>
  </si>
  <si>
    <t>20407887</t>
  </si>
  <si>
    <t>冉倩</t>
  </si>
  <si>
    <t>20399594</t>
  </si>
  <si>
    <t>晏林</t>
  </si>
  <si>
    <t>20392177</t>
  </si>
  <si>
    <t>刘超</t>
  </si>
  <si>
    <t>20439774</t>
  </si>
  <si>
    <t>陈倍林</t>
  </si>
  <si>
    <t>21401304</t>
  </si>
  <si>
    <t>胡长</t>
  </si>
  <si>
    <t>20393411</t>
  </si>
  <si>
    <t>丁馨</t>
  </si>
  <si>
    <t>21414921</t>
  </si>
  <si>
    <t>唐芳</t>
  </si>
  <si>
    <t>20390218</t>
  </si>
  <si>
    <t>袁建英</t>
  </si>
  <si>
    <t>20392179</t>
  </si>
  <si>
    <t>杜子宏</t>
  </si>
  <si>
    <t>21402205</t>
  </si>
  <si>
    <t>严涛</t>
  </si>
  <si>
    <t>20390232</t>
  </si>
  <si>
    <t>李雯琳</t>
  </si>
  <si>
    <t>20392178</t>
  </si>
  <si>
    <t>井鑫发</t>
  </si>
  <si>
    <t>20395135</t>
  </si>
  <si>
    <t>钱彩平</t>
  </si>
  <si>
    <t>20411404</t>
  </si>
  <si>
    <t>王建凯</t>
  </si>
  <si>
    <t>20392169</t>
  </si>
  <si>
    <t>杨钦</t>
  </si>
  <si>
    <t>21401584</t>
  </si>
  <si>
    <t>王雨琴</t>
  </si>
  <si>
    <t>20411931</t>
  </si>
  <si>
    <t>杨柳</t>
  </si>
  <si>
    <t>20434523</t>
  </si>
  <si>
    <t>杨预曼</t>
  </si>
  <si>
    <t>20392176</t>
  </si>
  <si>
    <t>尹常凯</t>
  </si>
  <si>
    <t>20436991</t>
  </si>
  <si>
    <t>周贤臣</t>
  </si>
  <si>
    <t>21402511</t>
  </si>
  <si>
    <t>冉越梦</t>
  </si>
  <si>
    <t>20403033</t>
  </si>
  <si>
    <t>李梅</t>
  </si>
  <si>
    <t>21396264</t>
  </si>
  <si>
    <t>李元飞</t>
  </si>
  <si>
    <t>21423795</t>
  </si>
  <si>
    <t>赖锐</t>
  </si>
  <si>
    <t>21401604</t>
  </si>
  <si>
    <t>瞿晗</t>
  </si>
  <si>
    <t>20455479</t>
  </si>
  <si>
    <t>宋亚蒙</t>
  </si>
  <si>
    <t>21414930</t>
  </si>
  <si>
    <t>董青林</t>
  </si>
  <si>
    <t>20391348</t>
  </si>
  <si>
    <t>郭凡</t>
  </si>
  <si>
    <t>20392172</t>
  </si>
  <si>
    <t>隆媛媛</t>
  </si>
  <si>
    <t>20390278</t>
  </si>
  <si>
    <t>彭艺桃</t>
  </si>
  <si>
    <t>20390240</t>
  </si>
  <si>
    <t>王春森</t>
  </si>
  <si>
    <t>21398578</t>
  </si>
  <si>
    <t>张师豪</t>
  </si>
  <si>
    <t>21401648</t>
  </si>
  <si>
    <t>张鑫</t>
  </si>
  <si>
    <t>20434982</t>
  </si>
  <si>
    <t>师永权</t>
  </si>
  <si>
    <t>21400647</t>
  </si>
  <si>
    <t>黄群英</t>
  </si>
  <si>
    <t>20394757</t>
  </si>
  <si>
    <t>李祥</t>
  </si>
  <si>
    <t>20390233</t>
  </si>
  <si>
    <t>陈祥宇</t>
  </si>
  <si>
    <t>20441066</t>
  </si>
  <si>
    <t>陈晖</t>
  </si>
  <si>
    <t>21410435</t>
  </si>
  <si>
    <t>范春花</t>
  </si>
  <si>
    <t>21415044</t>
  </si>
  <si>
    <t>冯燕妮</t>
  </si>
  <si>
    <t>21407303</t>
  </si>
  <si>
    <t>张可平</t>
  </si>
  <si>
    <t>20390231</t>
  </si>
  <si>
    <t>徐中梅</t>
  </si>
  <si>
    <t>21396913</t>
  </si>
  <si>
    <t>张亮</t>
  </si>
  <si>
    <t>20390771</t>
  </si>
  <si>
    <t>周伟</t>
  </si>
  <si>
    <t>21414965</t>
  </si>
  <si>
    <t>刘开欣</t>
  </si>
  <si>
    <t>21404398</t>
  </si>
  <si>
    <t>卢加英</t>
  </si>
  <si>
    <t>20442398</t>
  </si>
  <si>
    <t>罗锦龙</t>
  </si>
  <si>
    <t>20407717</t>
  </si>
  <si>
    <t>毛艳</t>
  </si>
  <si>
    <t>20394673</t>
  </si>
  <si>
    <t>熊帅</t>
  </si>
  <si>
    <t>20405478</t>
  </si>
  <si>
    <t>孙莹</t>
  </si>
  <si>
    <t>21414918</t>
  </si>
  <si>
    <t>田东坡</t>
  </si>
  <si>
    <t>20441071</t>
  </si>
  <si>
    <t>童小江</t>
  </si>
  <si>
    <t>20411083</t>
  </si>
  <si>
    <t>拉卡拉大POS机Z</t>
  </si>
  <si>
    <t>王睿鑫</t>
  </si>
  <si>
    <t>20435174</t>
  </si>
  <si>
    <t>20384845</t>
  </si>
  <si>
    <t>毛华姣</t>
  </si>
  <si>
    <t>20392195</t>
  </si>
  <si>
    <t>汤艳</t>
  </si>
  <si>
    <t>20392182</t>
  </si>
  <si>
    <t>刘容</t>
  </si>
  <si>
    <t>20406422</t>
  </si>
  <si>
    <t>田荣</t>
  </si>
  <si>
    <t>20390219</t>
  </si>
  <si>
    <t>王龑</t>
  </si>
  <si>
    <t>20407058</t>
  </si>
  <si>
    <t>张连东</t>
  </si>
  <si>
    <t>20394723</t>
  </si>
  <si>
    <t>奎尚佳</t>
  </si>
  <si>
    <t>20403262</t>
  </si>
  <si>
    <t>方维</t>
  </si>
  <si>
    <t>20444312</t>
  </si>
  <si>
    <t>合计</t>
  </si>
  <si>
    <t>拉卡拉电签4G版</t>
  </si>
  <si>
    <t>郭红君</t>
  </si>
  <si>
    <t>20445965</t>
  </si>
  <si>
    <t>拉卡拉电签4G版Z</t>
  </si>
  <si>
    <t>蒋美铃</t>
  </si>
  <si>
    <t>21415047</t>
  </si>
  <si>
    <t>赖伟胜</t>
  </si>
  <si>
    <t>21405106</t>
  </si>
  <si>
    <t>王菠</t>
  </si>
  <si>
    <t>21405600</t>
  </si>
  <si>
    <t>唐宁</t>
  </si>
  <si>
    <t>20394924</t>
  </si>
  <si>
    <t>邹运</t>
  </si>
  <si>
    <t>20392229</t>
  </si>
  <si>
    <t>范朝景</t>
  </si>
  <si>
    <t>21397818</t>
  </si>
  <si>
    <t>石美看</t>
  </si>
  <si>
    <t>21406263</t>
  </si>
  <si>
    <t>杨洪波</t>
  </si>
  <si>
    <t>21414910</t>
  </si>
  <si>
    <t>李双明</t>
  </si>
  <si>
    <t>21415360</t>
  </si>
  <si>
    <t>熊小朋</t>
  </si>
  <si>
    <t>21407311</t>
  </si>
  <si>
    <t>王琨</t>
  </si>
  <si>
    <t>20437136</t>
  </si>
  <si>
    <t>何艳成</t>
  </si>
  <si>
    <t>21414922</t>
  </si>
  <si>
    <t>蒋思思</t>
  </si>
  <si>
    <t>21424988</t>
  </si>
  <si>
    <t>王思壮</t>
  </si>
  <si>
    <t>21414909</t>
  </si>
  <si>
    <t>韩壁津</t>
  </si>
  <si>
    <t>21422127</t>
  </si>
  <si>
    <t>贺振锋</t>
  </si>
  <si>
    <t>21402214</t>
  </si>
  <si>
    <t>刘秀</t>
  </si>
  <si>
    <t>20454767</t>
  </si>
  <si>
    <t>叶胜</t>
  </si>
  <si>
    <t>20435827</t>
  </si>
  <si>
    <t>李彬</t>
  </si>
  <si>
    <t>20387392</t>
  </si>
  <si>
    <t>朱春杭</t>
  </si>
  <si>
    <t>21433356</t>
  </si>
  <si>
    <t>曾睿馨</t>
  </si>
  <si>
    <t>21423564</t>
  </si>
  <si>
    <t>刘元园</t>
  </si>
  <si>
    <t>21435642</t>
  </si>
  <si>
    <t>刘露</t>
  </si>
  <si>
    <t>21426748</t>
  </si>
  <si>
    <t>周洋</t>
  </si>
  <si>
    <t>21423049</t>
  </si>
  <si>
    <t>元晶晶</t>
  </si>
  <si>
    <t>21388232</t>
  </si>
  <si>
    <t>李海</t>
  </si>
  <si>
    <t>21402550</t>
  </si>
  <si>
    <t>廖明明</t>
  </si>
  <si>
    <t>21427220</t>
  </si>
  <si>
    <t>张杰</t>
  </si>
  <si>
    <t>21398610</t>
  </si>
  <si>
    <t>江思敏</t>
  </si>
  <si>
    <t>21388889</t>
  </si>
  <si>
    <t>骆静</t>
  </si>
  <si>
    <t>20390774</t>
  </si>
  <si>
    <t>吴家丽</t>
  </si>
  <si>
    <t>21396437</t>
  </si>
  <si>
    <t>全佳伟</t>
  </si>
  <si>
    <t>21373446</t>
  </si>
  <si>
    <t>李泽林</t>
  </si>
  <si>
    <t>21418879</t>
  </si>
  <si>
    <t>熊云芝</t>
  </si>
  <si>
    <t>20412502</t>
  </si>
  <si>
    <t>万龙婷</t>
  </si>
  <si>
    <t>21397386</t>
  </si>
  <si>
    <t>拉卡拉电签</t>
  </si>
  <si>
    <t>黄佳柔</t>
  </si>
  <si>
    <t>20413210</t>
  </si>
  <si>
    <t>拉卡拉电签Z</t>
  </si>
  <si>
    <t>吴琳琳</t>
  </si>
  <si>
    <t>20454303</t>
  </si>
  <si>
    <t>鲍光诚</t>
  </si>
  <si>
    <t>20390280</t>
  </si>
  <si>
    <t>李小龙</t>
  </si>
  <si>
    <t>20430093</t>
  </si>
  <si>
    <t>蹇云霞</t>
  </si>
  <si>
    <t>20394770</t>
  </si>
  <si>
    <t>孙盛路</t>
  </si>
  <si>
    <t>20428491</t>
  </si>
  <si>
    <t>王先贤</t>
  </si>
  <si>
    <t>20391426</t>
  </si>
  <si>
    <t>符旭</t>
  </si>
  <si>
    <t>20433721</t>
  </si>
  <si>
    <t>杨芝坤</t>
  </si>
  <si>
    <t>20421581</t>
  </si>
  <si>
    <t>高雅琳</t>
  </si>
  <si>
    <t>20444532</t>
  </si>
  <si>
    <t>李永康</t>
  </si>
  <si>
    <t>20424684</t>
  </si>
  <si>
    <t>冉双</t>
  </si>
  <si>
    <t>20441995</t>
  </si>
  <si>
    <t>陈肄</t>
  </si>
  <si>
    <t>20419941</t>
  </si>
  <si>
    <t>董仁丽</t>
  </si>
  <si>
    <t>20391350</t>
  </si>
  <si>
    <t>徐世宏</t>
  </si>
  <si>
    <t>20395890</t>
  </si>
  <si>
    <t>戴星</t>
  </si>
  <si>
    <t>20439150</t>
  </si>
  <si>
    <t>唐中豪</t>
  </si>
  <si>
    <t>20395816</t>
  </si>
  <si>
    <t>陈勇权</t>
  </si>
  <si>
    <t>20406920</t>
  </si>
  <si>
    <t>廖家卫</t>
  </si>
  <si>
    <t>20453415</t>
  </si>
  <si>
    <t>王飞</t>
  </si>
  <si>
    <t>20410710</t>
  </si>
  <si>
    <t>卢李</t>
  </si>
  <si>
    <t>20450048</t>
  </si>
  <si>
    <t>冉小红</t>
  </si>
  <si>
    <t>20395781</t>
  </si>
  <si>
    <t>陈侯霖</t>
  </si>
  <si>
    <t>20436982</t>
  </si>
  <si>
    <t>姚玲</t>
  </si>
  <si>
    <t>20409027</t>
  </si>
  <si>
    <t>李莹莹</t>
  </si>
  <si>
    <t>20439769</t>
  </si>
  <si>
    <t>滕菲</t>
  </si>
  <si>
    <t>20435601</t>
  </si>
  <si>
    <t>陈成</t>
  </si>
  <si>
    <t>20440441</t>
  </si>
  <si>
    <t>唐朝珍</t>
  </si>
  <si>
    <t>20413211</t>
  </si>
  <si>
    <t>曾珂斌</t>
  </si>
  <si>
    <t>20422993</t>
  </si>
  <si>
    <t>谭清芬</t>
  </si>
  <si>
    <t>20390839</t>
  </si>
  <si>
    <t>尹红</t>
  </si>
  <si>
    <t>20405736</t>
  </si>
  <si>
    <t>彭大威</t>
  </si>
  <si>
    <t>20428995</t>
  </si>
  <si>
    <t>杨晶晶</t>
  </si>
  <si>
    <t>20411764</t>
  </si>
  <si>
    <t>黄颖</t>
  </si>
  <si>
    <t>20446165</t>
  </si>
  <si>
    <t>魏雪</t>
  </si>
  <si>
    <t>20450047</t>
  </si>
  <si>
    <t>刘祥波</t>
  </si>
  <si>
    <t>20445953</t>
  </si>
  <si>
    <t>伍超</t>
  </si>
  <si>
    <t>20445197</t>
  </si>
  <si>
    <t>黄红阳</t>
  </si>
  <si>
    <t>20441965</t>
  </si>
  <si>
    <t>向林海</t>
  </si>
  <si>
    <t>20454302</t>
  </si>
  <si>
    <t>谢东</t>
  </si>
  <si>
    <t>20443189</t>
  </si>
  <si>
    <t>陈小强</t>
  </si>
  <si>
    <t>20390287</t>
  </si>
  <si>
    <t>张珊珊</t>
  </si>
  <si>
    <t>20408706</t>
  </si>
  <si>
    <t>陈廷惠</t>
  </si>
  <si>
    <t>20446356</t>
  </si>
  <si>
    <t>游明果</t>
  </si>
  <si>
    <t>20411067</t>
  </si>
  <si>
    <t>徐闽</t>
  </si>
  <si>
    <t>20434622</t>
  </si>
  <si>
    <t>冯星亮</t>
  </si>
  <si>
    <t>20404658</t>
  </si>
  <si>
    <t>拉卡拉智能机</t>
  </si>
  <si>
    <t>机身号</t>
  </si>
  <si>
    <t>商户号</t>
  </si>
  <si>
    <t>激活日期</t>
  </si>
  <si>
    <t>激活状态</t>
  </si>
  <si>
    <t>交易金额</t>
  </si>
  <si>
    <t>未交易</t>
  </si>
  <si>
    <t>00000302QRNL02979748</t>
  </si>
  <si>
    <t>8221000596300KC</t>
  </si>
  <si>
    <t>正常激活</t>
  </si>
  <si>
    <t>00000302QRNL02979596</t>
  </si>
  <si>
    <t>8225510596303TZ</t>
  </si>
  <si>
    <t>00000302QRNL02896077</t>
  </si>
  <si>
    <t>82259305094002Q</t>
  </si>
  <si>
    <t>000006026282366526</t>
  </si>
  <si>
    <t>82261105963007B</t>
  </si>
  <si>
    <t>00000302QRNL02896067</t>
  </si>
  <si>
    <t>822663050940754</t>
  </si>
  <si>
    <t>00000302QRNL05167521</t>
  </si>
  <si>
    <t>8226730596300EV</t>
  </si>
  <si>
    <t>00000302QRNL02896070</t>
  </si>
  <si>
    <t>82267505712001Y</t>
  </si>
  <si>
    <t>00000302QRNL02896071</t>
  </si>
  <si>
    <t>82269004214006P</t>
  </si>
  <si>
    <t>00000302QRNL02896068</t>
  </si>
  <si>
    <t>8226900509401BU</t>
  </si>
  <si>
    <t>00000302QRNL02896066</t>
  </si>
  <si>
    <t>8226900509401C9</t>
  </si>
  <si>
    <t>00000302QRNL05167290</t>
  </si>
  <si>
    <t>8226900509401CG</t>
  </si>
  <si>
    <t>000006026282366238</t>
  </si>
  <si>
    <t>8226900509401CH</t>
  </si>
  <si>
    <t>00000302QRNL05167516</t>
  </si>
  <si>
    <t>8226900509401CN</t>
  </si>
  <si>
    <t>00000302QRNL02896078</t>
  </si>
  <si>
    <t>8226900509401CR</t>
  </si>
  <si>
    <t>00000302QRNL05167524</t>
  </si>
  <si>
    <t>8226900509401D1</t>
  </si>
  <si>
    <t>00000302QRNL05167620</t>
  </si>
  <si>
    <t>8226900509401D9</t>
  </si>
  <si>
    <t>00000302QRNL05167318</t>
  </si>
  <si>
    <t>8226900509401DL</t>
  </si>
  <si>
    <t>000006026282367775</t>
  </si>
  <si>
    <t>8226900509401DT</t>
  </si>
  <si>
    <t>00000302QRNL02896069</t>
  </si>
  <si>
    <t>8226900509401DY</t>
  </si>
  <si>
    <t>00000302QRNL02979489</t>
  </si>
  <si>
    <t>8226900509401DZ</t>
  </si>
  <si>
    <t>00000302QRNL02979504</t>
  </si>
  <si>
    <t>8226900509401EG</t>
  </si>
  <si>
    <t>00000302QRNL05167503</t>
  </si>
  <si>
    <t>8226900509401EV</t>
  </si>
  <si>
    <t>00000302QRNL05167626</t>
  </si>
  <si>
    <t>8226900521102CH</t>
  </si>
  <si>
    <t>00000302QRNL02979354</t>
  </si>
  <si>
    <t>8226900531103SR</t>
  </si>
  <si>
    <t>000006026282366241</t>
  </si>
  <si>
    <t>8226900553300N2</t>
  </si>
  <si>
    <t>00000302QRNL02896294</t>
  </si>
  <si>
    <t>8226900553300N7</t>
  </si>
  <si>
    <t>00000302QRNL02896079</t>
  </si>
  <si>
    <t>8226900571200PW</t>
  </si>
  <si>
    <t>00000302QRNL05167314</t>
  </si>
  <si>
    <t>82269005812038Z</t>
  </si>
  <si>
    <t>00000302QRNL02896075</t>
  </si>
  <si>
    <t>82269005947007A</t>
  </si>
  <si>
    <t>00000302QRNL05167038</t>
  </si>
  <si>
    <t>82269005950001H</t>
  </si>
  <si>
    <t>00000302QRNL02979960</t>
  </si>
  <si>
    <t>8226900596303SL</t>
  </si>
  <si>
    <t>00000302QRNL05167329</t>
  </si>
  <si>
    <t>8226900596303SR</t>
  </si>
  <si>
    <t>00000302QRNL05167487</t>
  </si>
  <si>
    <t>8226900596303Z2</t>
  </si>
  <si>
    <t>00000302QRNL05167510</t>
  </si>
  <si>
    <t>8226900596303ZA</t>
  </si>
  <si>
    <t>00000302QRNL05167495</t>
  </si>
  <si>
    <t>8226900596303ZC</t>
  </si>
  <si>
    <t>00000302QRNL02896495</t>
  </si>
  <si>
    <t>8226900596303ZE</t>
  </si>
  <si>
    <t>000006026282367612</t>
  </si>
  <si>
    <t>8226900596303ZF</t>
  </si>
  <si>
    <t>00000302QRNL02979561</t>
  </si>
  <si>
    <t>8226900596303ZV</t>
  </si>
  <si>
    <t>00000302QRNL05167588</t>
  </si>
  <si>
    <t>82269005963040R</t>
  </si>
  <si>
    <t>00000302QRNL02895878</t>
  </si>
  <si>
    <t>82269005963040S</t>
  </si>
  <si>
    <t>00000302QRNL05167328</t>
  </si>
  <si>
    <t>82269005963040T</t>
  </si>
  <si>
    <t>00000302QRNL05167481</t>
  </si>
  <si>
    <t>82269005963040U</t>
  </si>
  <si>
    <t>00000302QRNL05167509</t>
  </si>
  <si>
    <t>82269005963041A</t>
  </si>
  <si>
    <t>00000302QRNL05167047</t>
  </si>
  <si>
    <t>82269005963041P</t>
  </si>
  <si>
    <t>00000302QRNL02896074</t>
  </si>
  <si>
    <t>82269005963041Y</t>
  </si>
  <si>
    <t>00000302QRNL05167075</t>
  </si>
  <si>
    <t>82269005963041Z</t>
  </si>
  <si>
    <t>00000302QRNL02896106</t>
  </si>
  <si>
    <t>82269005963042B</t>
  </si>
  <si>
    <t>00000302QRNL02896107</t>
  </si>
  <si>
    <t>82269005963042D</t>
  </si>
  <si>
    <t>00000302QRNL02896403</t>
  </si>
  <si>
    <t>82269005963042Z</t>
  </si>
  <si>
    <t>00000302QRNL05167048</t>
  </si>
  <si>
    <t>82269005963043E</t>
  </si>
  <si>
    <t>00000302QRNL02896091</t>
  </si>
  <si>
    <t>82269005963043J</t>
  </si>
  <si>
    <t>00000302QRNL02979330</t>
  </si>
  <si>
    <t>82269005963043K</t>
  </si>
  <si>
    <t>00000302QRNL05167291</t>
  </si>
  <si>
    <t>82269005963043M</t>
  </si>
  <si>
    <t>00000302QRNL02896089</t>
  </si>
  <si>
    <t>82269005963043S</t>
  </si>
  <si>
    <t>00000302QRNL05167327</t>
  </si>
  <si>
    <t>82269005963044A</t>
  </si>
  <si>
    <t>00000302QRNL02896098</t>
  </si>
  <si>
    <t>82269005963044B</t>
  </si>
  <si>
    <t>00000302QRNL02896503</t>
  </si>
  <si>
    <t>82269005963044D</t>
  </si>
  <si>
    <t>00000302QRNL05167490</t>
  </si>
  <si>
    <t>82269005963044Q</t>
  </si>
  <si>
    <t>00000302QRNL05167489</t>
  </si>
  <si>
    <t>82269005963045C</t>
  </si>
  <si>
    <t>00000302QRNL02896088</t>
  </si>
  <si>
    <t>82269005963045E</t>
  </si>
  <si>
    <t>00000302QRNL02896255</t>
  </si>
  <si>
    <t>82269005963045N</t>
  </si>
  <si>
    <t>00000302QRNL05167046</t>
  </si>
  <si>
    <t>82269005963045R</t>
  </si>
  <si>
    <t>00000302QRNL02979625</t>
  </si>
  <si>
    <t>82269005963045X</t>
  </si>
  <si>
    <t>00000302QRNL02896085</t>
  </si>
  <si>
    <t>82269005963046A</t>
  </si>
  <si>
    <t>00000302QRNL02896086</t>
  </si>
  <si>
    <t>82269005963046J</t>
  </si>
  <si>
    <t>00000302QRNL05167580</t>
  </si>
  <si>
    <t>82269005963046K</t>
  </si>
  <si>
    <t>00000302QRNL02896010</t>
  </si>
  <si>
    <t>82269005963046T</t>
  </si>
  <si>
    <t>00000302QRNL02979523</t>
  </si>
  <si>
    <t>8226900599800NE</t>
  </si>
  <si>
    <t>00000302QRNL02979544</t>
  </si>
  <si>
    <t>8226900599800NK</t>
  </si>
  <si>
    <t>00000302QRNL02979539</t>
  </si>
  <si>
    <t>8226900599800NM</t>
  </si>
  <si>
    <t>00000302QRNL05166728</t>
  </si>
  <si>
    <t>8226900599800NQ</t>
  </si>
  <si>
    <t>00000302QRNL02896338</t>
  </si>
  <si>
    <t>8226900599800NR</t>
  </si>
  <si>
    <t>00000302QRNL02896099</t>
  </si>
  <si>
    <t>8226900701102XG</t>
  </si>
  <si>
    <t>00000302QRNL05167044</t>
  </si>
  <si>
    <t>8226900701102YQ</t>
  </si>
  <si>
    <t>00000302JBNL01147090</t>
  </si>
  <si>
    <t>82254105963007J</t>
  </si>
  <si>
    <t>00000302JBNL01147157</t>
  </si>
  <si>
    <t>8226900509401BW</t>
  </si>
  <si>
    <t>00000302JBNL01147010</t>
  </si>
  <si>
    <t>8226900509401DR</t>
  </si>
  <si>
    <t>00000302JBNL01147016</t>
  </si>
  <si>
    <t>8226900509401E6</t>
  </si>
  <si>
    <t>00000302JBNL01147159</t>
  </si>
  <si>
    <t>82269005714008D</t>
  </si>
  <si>
    <t>00000302JBNL01147044</t>
  </si>
  <si>
    <t>8226900596303ZB</t>
  </si>
  <si>
    <t>00000302JBNL00773263</t>
  </si>
  <si>
    <t>8226900596303ZQ</t>
  </si>
  <si>
    <t>00000302JBNL01147019</t>
  </si>
  <si>
    <t>8226900596303ZW</t>
  </si>
  <si>
    <t>00000302JBNL01147232</t>
  </si>
  <si>
    <t>82269005963040F</t>
  </si>
  <si>
    <t>000006027284462212</t>
  </si>
  <si>
    <t>82269005963041J</t>
  </si>
  <si>
    <t>00000302JBNL01147096</t>
  </si>
  <si>
    <t>82269005963042U</t>
  </si>
  <si>
    <t>00000302JBNL01147152</t>
  </si>
  <si>
    <t>82269005963043N</t>
  </si>
  <si>
    <t>00000302JBNL01147156</t>
  </si>
  <si>
    <t>82269005963043Y</t>
  </si>
  <si>
    <t>00000302JBNL01147224</t>
  </si>
  <si>
    <t>82269005963046B</t>
  </si>
  <si>
    <t>00000302JBNL01147279</t>
  </si>
  <si>
    <t>8226900599800NC</t>
  </si>
  <si>
    <t>00000302JBNL01147150</t>
  </si>
  <si>
    <t>8226900701102XF</t>
  </si>
  <si>
    <t>00003102932004660229</t>
  </si>
  <si>
    <t>8226900509401E3</t>
  </si>
  <si>
    <t>00002402071700810514</t>
  </si>
  <si>
    <t>82269005963028J</t>
  </si>
  <si>
    <t>00005602104800317959</t>
  </si>
  <si>
    <t>8226900701102RJ</t>
  </si>
  <si>
    <t>字段名</t>
    <phoneticPr fontId="7" type="noConversion"/>
  </si>
  <si>
    <t>逻辑</t>
    <phoneticPr fontId="7" type="noConversion"/>
  </si>
  <si>
    <t>交易时间段（如：201201-201207表示交易日期为2020/12/1-2020/12/7）</t>
    <phoneticPr fontId="7" type="noConversion"/>
  </si>
  <si>
    <t>产品</t>
    <phoneticPr fontId="7" type="noConversion"/>
  </si>
  <si>
    <t>产品名称：立刷、拉卡拉电签、优刷等</t>
    <phoneticPr fontId="7" type="noConversion"/>
  </si>
  <si>
    <t>产品后台</t>
    <phoneticPr fontId="7" type="noConversion"/>
  </si>
  <si>
    <t>产品后台：立刷3/4/5/6、拉卡拉电签F/T/T/TC/Z等</t>
    <phoneticPr fontId="7" type="noConversion"/>
  </si>
  <si>
    <t>根据分公司划分总裁归属(暂时分为纵队、唐总、方总)</t>
    <phoneticPr fontId="7" type="noConversion"/>
  </si>
  <si>
    <t>统一分公司名字（一个公司在有多个后台名称）</t>
    <phoneticPr fontId="7" type="noConversion"/>
  </si>
  <si>
    <t>分公司后台</t>
    <phoneticPr fontId="7" type="noConversion"/>
  </si>
  <si>
    <t>分公司在后台开设的名称</t>
  </si>
  <si>
    <t>队员在后台开设的名称</t>
    <phoneticPr fontId="7" type="noConversion"/>
  </si>
  <si>
    <t>队员在后台开设的账号</t>
    <phoneticPr fontId="7" type="noConversion"/>
  </si>
  <si>
    <t>截止11月累计激活</t>
    <phoneticPr fontId="7" type="noConversion"/>
  </si>
  <si>
    <t>截止11月30日所有激活数量</t>
    <phoneticPr fontId="7" type="noConversion"/>
  </si>
  <si>
    <t>11月总交易</t>
    <phoneticPr fontId="7" type="noConversion"/>
  </si>
  <si>
    <t>11月期间所有的交易金额</t>
    <phoneticPr fontId="7" type="noConversion"/>
  </si>
  <si>
    <t>11月总台均</t>
    <phoneticPr fontId="7" type="noConversion"/>
  </si>
  <si>
    <t>11月总交易/截止11月累计激活</t>
    <phoneticPr fontId="7" type="noConversion"/>
  </si>
  <si>
    <t>10月激活</t>
    <phoneticPr fontId="7" type="noConversion"/>
  </si>
  <si>
    <t>10月期间激活数量</t>
    <phoneticPr fontId="7" type="noConversion"/>
  </si>
  <si>
    <t>10月激活11月未交易</t>
  </si>
  <si>
    <t>10月期间激活机具在11月没有交易的机具数量</t>
    <phoneticPr fontId="7" type="noConversion"/>
  </si>
  <si>
    <t>10月激活11月未交易/10月激活</t>
    <phoneticPr fontId="7" type="noConversion"/>
  </si>
  <si>
    <t>10月激活11月交易金额</t>
  </si>
  <si>
    <t>10月期间激活的机具在11月的交易金额</t>
    <phoneticPr fontId="7" type="noConversion"/>
  </si>
  <si>
    <t>10月激活11月台均</t>
  </si>
  <si>
    <t>10月激活11月交易金额/10月激活</t>
    <phoneticPr fontId="7" type="noConversion"/>
  </si>
  <si>
    <t>上周总交易10.25-10.31</t>
    <phoneticPr fontId="7" type="noConversion"/>
  </si>
  <si>
    <t>10.25-10.31期间所有的交易金额</t>
    <phoneticPr fontId="7" type="noConversion"/>
  </si>
  <si>
    <t>交易增长比</t>
  </si>
  <si>
    <t>(本周交易(11.1-11.7)-上周总交易)/上周总交易</t>
    <phoneticPr fontId="7" type="noConversion"/>
  </si>
  <si>
    <t>月台均激活明细中体现
依据行财每月提供的队员/机具归属来匹配，仅供参考</t>
    <phoneticPr fontId="7" type="noConversion"/>
  </si>
  <si>
    <t>分为正常激活、重复激活（拉卡拉电签/4G），针对重复激活机具会核算最新商户的台均；
解绑后的商户不计入总激活，产生的交易计入相应的队员交易</t>
    <phoneticPr fontId="7" type="noConversion"/>
  </si>
  <si>
    <t>关于关闭商户</t>
    <phoneticPr fontId="7" type="noConversion"/>
  </si>
  <si>
    <t>由于近期出现关闭商户均因为进件不合规导致，在重新提交资料后能重新开启商户，故从2021/5/1起关闭商户激活交易均计入台均内核算，请队员在作业时按照规定提供资料，避免出现商户关闭不能交易导致台均下降</t>
    <phoneticPr fontId="7" type="noConversion"/>
  </si>
  <si>
    <t>关于拉卡拉智能机</t>
    <phoneticPr fontId="7" type="noConversion"/>
  </si>
  <si>
    <t>智能机可以解绑，激活以现绑定商户的机具数量为准
解绑商户产生的交易均计入相应的公司交易中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</si>
</sst>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_(* #,##0_);_(* \(#,##0\);_(* &quot;-&quot;??_);_(@_)"/>
    <numFmt numFmtId="180" formatCode="0_ "/>
    <numFmt numFmtId="181" formatCode="0_);[Red]\(0\)"/>
    <numFmt numFmtId="182" formatCode="#,##0_ 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4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2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38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9" fontId="4" fillId="0" borderId="0" xfId="2" applyFont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182" fontId="5" fillId="0" borderId="1" xfId="0" applyNumberFormat="1" applyFont="1" applyBorder="1" applyAlignment="1">
      <alignment horizontal="center" vertical="center" shrinkToFit="1"/>
    </xf>
    <xf numFmtId="180" fontId="5" fillId="0" borderId="1" xfId="0" applyNumberFormat="1" applyFont="1" applyBorder="1" applyAlignment="1">
      <alignment horizontal="center" vertical="center" shrinkToFit="1"/>
    </xf>
    <xf numFmtId="9" fontId="5" fillId="0" borderId="1" xfId="3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9" fontId="2" fillId="2" borderId="1" xfId="3" applyFont="1" applyFill="1" applyBorder="1" applyAlignment="1">
      <alignment horizontal="center" vertical="center" wrapText="1"/>
    </xf>
    <xf numFmtId="9" fontId="4" fillId="0" borderId="1" xfId="3" applyFont="1" applyBorder="1" applyAlignment="1">
      <alignment horizontal="center" vertical="center"/>
    </xf>
    <xf numFmtId="9" fontId="4" fillId="0" borderId="0" xfId="3" applyFont="1" applyAlignment="1">
      <alignment horizontal="center" vertical="center"/>
    </xf>
    <xf numFmtId="180" fontId="4" fillId="0" borderId="1" xfId="1" applyNumberFormat="1" applyFont="1" applyFill="1" applyBorder="1" applyAlignment="1">
      <alignment horizontal="center" vertical="center"/>
    </xf>
    <xf numFmtId="181" fontId="4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3" borderId="5" xfId="4" applyFont="1" applyFill="1" applyBorder="1">
      <alignment vertical="center"/>
    </xf>
    <xf numFmtId="0" fontId="6" fillId="3" borderId="6" xfId="4" applyFont="1" applyFill="1" applyBorder="1">
      <alignment vertical="center"/>
    </xf>
    <xf numFmtId="0" fontId="4" fillId="0" borderId="0" xfId="4">
      <alignment vertical="center"/>
    </xf>
    <xf numFmtId="0" fontId="4" fillId="4" borderId="5" xfId="4" applyFill="1" applyBorder="1">
      <alignment vertical="center"/>
    </xf>
    <xf numFmtId="0" fontId="4" fillId="4" borderId="6" xfId="4" applyFill="1" applyBorder="1">
      <alignment vertical="center"/>
    </xf>
    <xf numFmtId="0" fontId="4" fillId="0" borderId="5" xfId="4" applyBorder="1">
      <alignment vertical="center"/>
    </xf>
    <xf numFmtId="0" fontId="4" fillId="0" borderId="6" xfId="4" applyBorder="1">
      <alignment vertical="center"/>
    </xf>
    <xf numFmtId="0" fontId="8" fillId="4" borderId="6" xfId="4" applyFont="1" applyFill="1" applyBorder="1" applyAlignment="1">
      <alignment vertical="center" wrapText="1"/>
    </xf>
    <xf numFmtId="0" fontId="4" fillId="0" borderId="7" xfId="4" applyBorder="1">
      <alignment vertical="center"/>
    </xf>
    <xf numFmtId="0" fontId="9" fillId="0" borderId="8" xfId="4" applyFont="1" applyBorder="1" applyAlignment="1">
      <alignment vertical="center" wrapText="1"/>
    </xf>
    <xf numFmtId="0" fontId="5" fillId="4" borderId="5" xfId="4" applyFont="1" applyFill="1" applyBorder="1">
      <alignment vertical="center"/>
    </xf>
    <xf numFmtId="0" fontId="5" fillId="4" borderId="6" xfId="4" applyFont="1" applyFill="1" applyBorder="1" applyAlignment="1">
      <alignment vertical="center" wrapText="1"/>
    </xf>
  </cellXfs>
  <cellStyles count="5">
    <cellStyle name="百分比" xfId="2" builtinId="5"/>
    <cellStyle name="百分比 2" xfId="3" xr:uid="{4034E410-A8D3-410F-8D14-2073C6362887}"/>
    <cellStyle name="常规" xfId="0" builtinId="0"/>
    <cellStyle name="常规 2" xfId="4" xr:uid="{E5A47E2A-2376-4E31-BA58-14D8DD5E9227}"/>
    <cellStyle name="千位分隔" xfId="1" builtinId="3"/>
  </cellStyles>
  <dxfs count="40"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6607-4414-4105-8543-03ED396830BD}">
  <sheetPr codeName="Sheet11">
    <tabColor theme="4"/>
  </sheetPr>
  <dimension ref="A1:B23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23" sqref="B23"/>
    </sheetView>
  </sheetViews>
  <sheetFormatPr defaultRowHeight="14.25" x14ac:dyDescent="0.2"/>
  <cols>
    <col min="1" max="1" width="27" style="33" bestFit="1" customWidth="1"/>
    <col min="2" max="2" width="78.25" style="33" customWidth="1"/>
    <col min="3" max="16384" width="9" style="33"/>
  </cols>
  <sheetData>
    <row r="1" spans="1:2" x14ac:dyDescent="0.2">
      <c r="A1" s="31" t="s">
        <v>562</v>
      </c>
      <c r="B1" s="32" t="s">
        <v>563</v>
      </c>
    </row>
    <row r="2" spans="1:2" ht="18.75" customHeight="1" x14ac:dyDescent="0.2">
      <c r="A2" s="34" t="s">
        <v>0</v>
      </c>
      <c r="B2" s="35" t="s">
        <v>564</v>
      </c>
    </row>
    <row r="3" spans="1:2" ht="18.75" customHeight="1" x14ac:dyDescent="0.2">
      <c r="A3" s="36" t="s">
        <v>565</v>
      </c>
      <c r="B3" s="37" t="s">
        <v>566</v>
      </c>
    </row>
    <row r="4" spans="1:2" ht="18.75" customHeight="1" x14ac:dyDescent="0.2">
      <c r="A4" s="34" t="s">
        <v>567</v>
      </c>
      <c r="B4" s="35" t="s">
        <v>568</v>
      </c>
    </row>
    <row r="5" spans="1:2" ht="18.75" customHeight="1" x14ac:dyDescent="0.2">
      <c r="A5" s="36" t="s">
        <v>15</v>
      </c>
      <c r="B5" s="37" t="s">
        <v>569</v>
      </c>
    </row>
    <row r="6" spans="1:2" ht="18.75" customHeight="1" x14ac:dyDescent="0.2">
      <c r="A6" s="34" t="s">
        <v>2</v>
      </c>
      <c r="B6" s="35" t="s">
        <v>570</v>
      </c>
    </row>
    <row r="7" spans="1:2" ht="18.75" customHeight="1" x14ac:dyDescent="0.2">
      <c r="A7" s="36" t="s">
        <v>571</v>
      </c>
      <c r="B7" s="37" t="s">
        <v>572</v>
      </c>
    </row>
    <row r="8" spans="1:2" ht="18.75" customHeight="1" x14ac:dyDescent="0.2">
      <c r="A8" s="34" t="s">
        <v>4</v>
      </c>
      <c r="B8" s="35" t="s">
        <v>573</v>
      </c>
    </row>
    <row r="9" spans="1:2" ht="18.75" customHeight="1" x14ac:dyDescent="0.2">
      <c r="A9" s="36" t="s">
        <v>5</v>
      </c>
      <c r="B9" s="37" t="s">
        <v>574</v>
      </c>
    </row>
    <row r="10" spans="1:2" ht="18.75" customHeight="1" x14ac:dyDescent="0.2">
      <c r="A10" s="34" t="s">
        <v>575</v>
      </c>
      <c r="B10" s="35" t="s">
        <v>576</v>
      </c>
    </row>
    <row r="11" spans="1:2" ht="18.75" customHeight="1" x14ac:dyDescent="0.2">
      <c r="A11" s="36" t="s">
        <v>577</v>
      </c>
      <c r="B11" s="37" t="s">
        <v>578</v>
      </c>
    </row>
    <row r="12" spans="1:2" ht="18.75" customHeight="1" x14ac:dyDescent="0.2">
      <c r="A12" s="34" t="s">
        <v>579</v>
      </c>
      <c r="B12" s="35" t="s">
        <v>580</v>
      </c>
    </row>
    <row r="13" spans="1:2" ht="18.75" customHeight="1" x14ac:dyDescent="0.2">
      <c r="A13" s="36" t="s">
        <v>581</v>
      </c>
      <c r="B13" s="37" t="s">
        <v>582</v>
      </c>
    </row>
    <row r="14" spans="1:2" ht="18.75" customHeight="1" x14ac:dyDescent="0.2">
      <c r="A14" s="34" t="s">
        <v>583</v>
      </c>
      <c r="B14" s="35" t="s">
        <v>584</v>
      </c>
    </row>
    <row r="15" spans="1:2" ht="18.75" customHeight="1" x14ac:dyDescent="0.2">
      <c r="A15" s="36" t="s">
        <v>11</v>
      </c>
      <c r="B15" s="37" t="s">
        <v>585</v>
      </c>
    </row>
    <row r="16" spans="1:2" ht="18.75" customHeight="1" x14ac:dyDescent="0.2">
      <c r="A16" s="34" t="s">
        <v>586</v>
      </c>
      <c r="B16" s="35" t="s">
        <v>587</v>
      </c>
    </row>
    <row r="17" spans="1:2" ht="18.75" customHeight="1" x14ac:dyDescent="0.2">
      <c r="A17" s="36" t="s">
        <v>588</v>
      </c>
      <c r="B17" s="37" t="s">
        <v>589</v>
      </c>
    </row>
    <row r="18" spans="1:2" ht="18.75" customHeight="1" x14ac:dyDescent="0.2">
      <c r="A18" s="34" t="s">
        <v>590</v>
      </c>
      <c r="B18" s="35" t="s">
        <v>591</v>
      </c>
    </row>
    <row r="19" spans="1:2" ht="18.75" customHeight="1" x14ac:dyDescent="0.2">
      <c r="A19" s="36" t="s">
        <v>592</v>
      </c>
      <c r="B19" s="37" t="s">
        <v>593</v>
      </c>
    </row>
    <row r="20" spans="1:2" ht="35.25" customHeight="1" x14ac:dyDescent="0.2">
      <c r="A20" s="34" t="s">
        <v>3</v>
      </c>
      <c r="B20" s="38" t="s">
        <v>594</v>
      </c>
    </row>
    <row r="21" spans="1:2" ht="35.25" customHeight="1" x14ac:dyDescent="0.2">
      <c r="A21" s="39" t="s">
        <v>372</v>
      </c>
      <c r="B21" s="40" t="s">
        <v>595</v>
      </c>
    </row>
    <row r="22" spans="1:2" ht="45" customHeight="1" x14ac:dyDescent="0.2">
      <c r="A22" s="41" t="s">
        <v>596</v>
      </c>
      <c r="B22" s="42" t="s">
        <v>597</v>
      </c>
    </row>
    <row r="23" spans="1:2" ht="35.25" customHeight="1" x14ac:dyDescent="0.2">
      <c r="A23" s="39" t="s">
        <v>598</v>
      </c>
      <c r="B23" s="40" t="s">
        <v>599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C0CD-FBFB-43EC-9706-FDF254F32798}">
  <sheetPr codeName="Sheet1">
    <tabColor rgb="FFFF0000"/>
  </sheetPr>
  <dimension ref="A1:R115"/>
  <sheetViews>
    <sheetView workbookViewId="0">
      <pane xSplit="3" ySplit="2" topLeftCell="D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4.75" bestFit="1" customWidth="1"/>
    <col min="3" max="3" width="13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20.375" bestFit="1" customWidth="1"/>
    <col min="15" max="15" width="5.25" bestFit="1" customWidth="1"/>
    <col min="16" max="16" width="13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" t="s">
        <v>1</v>
      </c>
      <c r="C1" s="1" t="s">
        <v>2</v>
      </c>
      <c r="D1" s="1" t="s">
        <v>4</v>
      </c>
      <c r="E1" s="1" t="s">
        <v>5</v>
      </c>
      <c r="F1" s="3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4" t="s">
        <v>13</v>
      </c>
      <c r="N1" s="1" t="s">
        <v>14</v>
      </c>
      <c r="O1" s="2" t="s">
        <v>15</v>
      </c>
      <c r="P1" s="2" t="s">
        <v>16</v>
      </c>
      <c r="Q1" s="5"/>
      <c r="R1" s="5"/>
    </row>
    <row r="2" spans="1:18" s="22" customFormat="1" ht="24.95" customHeight="1" x14ac:dyDescent="0.2">
      <c r="A2" s="15" t="s">
        <v>199</v>
      </c>
      <c r="B2" s="16"/>
      <c r="C2" s="16"/>
      <c r="D2" s="16"/>
      <c r="E2" s="17"/>
      <c r="F2" s="18">
        <f>SUBTOTAL(9,F3:F1048576)</f>
        <v>591</v>
      </c>
      <c r="G2" s="19">
        <f>SUBTOTAL(9,G3:G1048576)</f>
        <v>4757908.580000001</v>
      </c>
      <c r="H2" s="18">
        <f>G2/F2</f>
        <v>8050.6067343485638</v>
      </c>
      <c r="I2" s="18">
        <f t="shared" ref="I2:J2" si="0">SUBTOTAL(9,I3:I1048576)</f>
        <v>16</v>
      </c>
      <c r="J2" s="18">
        <f t="shared" si="0"/>
        <v>3</v>
      </c>
      <c r="K2" s="20">
        <f>IFERROR(J2/I2,)</f>
        <v>0.1875</v>
      </c>
      <c r="L2" s="19">
        <f>SUBTOTAL(9,L3:L1048576)</f>
        <v>113007.01</v>
      </c>
      <c r="M2" s="18">
        <f>IFERROR(L2/I2,)</f>
        <v>7062.9381249999997</v>
      </c>
      <c r="N2" s="21"/>
      <c r="O2" s="21"/>
      <c r="P2" s="21"/>
    </row>
    <row r="3" spans="1:18" ht="21" customHeight="1" x14ac:dyDescent="0.2">
      <c r="A3" s="6" t="s">
        <v>17</v>
      </c>
      <c r="B3" s="7" t="s">
        <v>18</v>
      </c>
      <c r="C3" s="6" t="s">
        <v>19</v>
      </c>
      <c r="D3" s="6" t="s">
        <v>21</v>
      </c>
      <c r="E3" s="6" t="s">
        <v>22</v>
      </c>
      <c r="F3" s="8">
        <v>4</v>
      </c>
      <c r="G3" s="9">
        <v>280700</v>
      </c>
      <c r="H3" s="8">
        <v>70175</v>
      </c>
      <c r="I3" s="10"/>
      <c r="J3" s="11"/>
      <c r="K3" s="7"/>
      <c r="L3" s="9"/>
      <c r="M3" s="8"/>
      <c r="N3" s="12" t="s">
        <v>23</v>
      </c>
      <c r="O3" s="12" t="s">
        <v>24</v>
      </c>
      <c r="P3" s="6" t="s">
        <v>19</v>
      </c>
      <c r="Q3" s="13"/>
      <c r="R3" s="14"/>
    </row>
    <row r="4" spans="1:18" ht="21" customHeight="1" x14ac:dyDescent="0.2">
      <c r="A4" s="6" t="s">
        <v>17</v>
      </c>
      <c r="B4" s="7" t="s">
        <v>18</v>
      </c>
      <c r="C4" s="6" t="s">
        <v>19</v>
      </c>
      <c r="D4" s="6" t="s">
        <v>25</v>
      </c>
      <c r="E4" s="6" t="s">
        <v>26</v>
      </c>
      <c r="F4" s="8">
        <v>1</v>
      </c>
      <c r="G4" s="9">
        <v>53962</v>
      </c>
      <c r="H4" s="8">
        <v>53962</v>
      </c>
      <c r="I4" s="10"/>
      <c r="J4" s="11"/>
      <c r="K4" s="7"/>
      <c r="L4" s="9"/>
      <c r="M4" s="8"/>
      <c r="N4" s="12" t="s">
        <v>23</v>
      </c>
      <c r="O4" s="12" t="s">
        <v>24</v>
      </c>
      <c r="P4" s="6" t="s">
        <v>19</v>
      </c>
      <c r="Q4" s="13"/>
      <c r="R4" s="14"/>
    </row>
    <row r="5" spans="1:18" ht="21" customHeight="1" x14ac:dyDescent="0.2">
      <c r="A5" s="6" t="s">
        <v>17</v>
      </c>
      <c r="B5" s="7" t="s">
        <v>18</v>
      </c>
      <c r="C5" s="6" t="s">
        <v>19</v>
      </c>
      <c r="D5" s="6" t="s">
        <v>27</v>
      </c>
      <c r="E5" s="6" t="s">
        <v>28</v>
      </c>
      <c r="F5" s="8">
        <v>2</v>
      </c>
      <c r="G5" s="9">
        <v>98495</v>
      </c>
      <c r="H5" s="8">
        <v>49247.5</v>
      </c>
      <c r="I5" s="10"/>
      <c r="J5" s="11"/>
      <c r="K5" s="7"/>
      <c r="L5" s="9"/>
      <c r="M5" s="8"/>
      <c r="N5" s="12" t="s">
        <v>23</v>
      </c>
      <c r="O5" s="12" t="s">
        <v>24</v>
      </c>
      <c r="P5" s="6" t="s">
        <v>19</v>
      </c>
      <c r="Q5" s="13"/>
      <c r="R5" s="14"/>
    </row>
    <row r="6" spans="1:18" ht="21" customHeight="1" x14ac:dyDescent="0.2">
      <c r="A6" s="6" t="s">
        <v>17</v>
      </c>
      <c r="B6" s="7" t="s">
        <v>18</v>
      </c>
      <c r="C6" s="6" t="s">
        <v>19</v>
      </c>
      <c r="D6" s="6" t="s">
        <v>29</v>
      </c>
      <c r="E6" s="6" t="s">
        <v>30</v>
      </c>
      <c r="F6" s="8">
        <v>2</v>
      </c>
      <c r="G6" s="9">
        <v>92473</v>
      </c>
      <c r="H6" s="8">
        <v>46236.5</v>
      </c>
      <c r="I6" s="10"/>
      <c r="J6" s="11"/>
      <c r="K6" s="7"/>
      <c r="L6" s="9"/>
      <c r="M6" s="8"/>
      <c r="N6" s="12" t="s">
        <v>23</v>
      </c>
      <c r="O6" s="12" t="s">
        <v>24</v>
      </c>
      <c r="P6" s="6" t="s">
        <v>19</v>
      </c>
      <c r="Q6" s="13"/>
      <c r="R6" s="14"/>
    </row>
    <row r="7" spans="1:18" ht="21" customHeight="1" x14ac:dyDescent="0.2">
      <c r="A7" s="6" t="s">
        <v>17</v>
      </c>
      <c r="B7" s="7" t="s">
        <v>18</v>
      </c>
      <c r="C7" s="6" t="s">
        <v>19</v>
      </c>
      <c r="D7" s="6" t="s">
        <v>31</v>
      </c>
      <c r="E7" s="6" t="s">
        <v>32</v>
      </c>
      <c r="F7" s="8">
        <v>2</v>
      </c>
      <c r="G7" s="9">
        <v>80000.02</v>
      </c>
      <c r="H7" s="8">
        <v>40000.01</v>
      </c>
      <c r="I7" s="10"/>
      <c r="J7" s="11"/>
      <c r="K7" s="7"/>
      <c r="L7" s="9"/>
      <c r="M7" s="8"/>
      <c r="N7" s="12" t="s">
        <v>23</v>
      </c>
      <c r="O7" s="12" t="s">
        <v>24</v>
      </c>
      <c r="P7" s="6" t="s">
        <v>19</v>
      </c>
      <c r="Q7" s="13"/>
      <c r="R7" s="14"/>
    </row>
    <row r="8" spans="1:18" ht="21" customHeight="1" x14ac:dyDescent="0.2">
      <c r="A8" s="6" t="s">
        <v>17</v>
      </c>
      <c r="B8" s="7" t="s">
        <v>18</v>
      </c>
      <c r="C8" s="6" t="s">
        <v>19</v>
      </c>
      <c r="D8" s="6" t="s">
        <v>33</v>
      </c>
      <c r="E8" s="6" t="s">
        <v>34</v>
      </c>
      <c r="F8" s="8">
        <v>1</v>
      </c>
      <c r="G8" s="9">
        <v>39000</v>
      </c>
      <c r="H8" s="8">
        <v>39000</v>
      </c>
      <c r="I8" s="10"/>
      <c r="J8" s="11"/>
      <c r="K8" s="7"/>
      <c r="L8" s="9"/>
      <c r="M8" s="8"/>
      <c r="N8" s="12" t="s">
        <v>23</v>
      </c>
      <c r="O8" s="12" t="s">
        <v>24</v>
      </c>
      <c r="P8" s="6" t="s">
        <v>19</v>
      </c>
      <c r="Q8" s="13"/>
      <c r="R8" s="14"/>
    </row>
    <row r="9" spans="1:18" ht="21" customHeight="1" x14ac:dyDescent="0.2">
      <c r="A9" s="6" t="s">
        <v>17</v>
      </c>
      <c r="B9" s="7" t="s">
        <v>18</v>
      </c>
      <c r="C9" s="6" t="s">
        <v>19</v>
      </c>
      <c r="D9" s="6" t="s">
        <v>35</v>
      </c>
      <c r="E9" s="6" t="s">
        <v>36</v>
      </c>
      <c r="F9" s="8">
        <v>3</v>
      </c>
      <c r="G9" s="9">
        <v>98881</v>
      </c>
      <c r="H9" s="8">
        <v>32960.333333333336</v>
      </c>
      <c r="I9" s="10"/>
      <c r="J9" s="11"/>
      <c r="K9" s="7"/>
      <c r="L9" s="9"/>
      <c r="M9" s="8"/>
      <c r="N9" s="12" t="s">
        <v>23</v>
      </c>
      <c r="O9" s="12" t="s">
        <v>24</v>
      </c>
      <c r="P9" s="6" t="s">
        <v>19</v>
      </c>
      <c r="Q9" s="13"/>
      <c r="R9" s="14"/>
    </row>
    <row r="10" spans="1:18" ht="21" customHeight="1" x14ac:dyDescent="0.2">
      <c r="A10" s="6" t="s">
        <v>17</v>
      </c>
      <c r="B10" s="7" t="s">
        <v>18</v>
      </c>
      <c r="C10" s="6" t="s">
        <v>19</v>
      </c>
      <c r="D10" s="6" t="s">
        <v>37</v>
      </c>
      <c r="E10" s="6" t="s">
        <v>38</v>
      </c>
      <c r="F10" s="8">
        <v>1</v>
      </c>
      <c r="G10" s="9">
        <v>30783</v>
      </c>
      <c r="H10" s="8">
        <v>30783</v>
      </c>
      <c r="I10" s="10"/>
      <c r="J10" s="11"/>
      <c r="K10" s="7"/>
      <c r="L10" s="9"/>
      <c r="M10" s="8"/>
      <c r="N10" s="12" t="s">
        <v>23</v>
      </c>
      <c r="O10" s="12" t="s">
        <v>24</v>
      </c>
      <c r="P10" s="6" t="s">
        <v>19</v>
      </c>
      <c r="Q10" s="13"/>
      <c r="R10" s="14"/>
    </row>
    <row r="11" spans="1:18" ht="21" customHeight="1" x14ac:dyDescent="0.2">
      <c r="A11" s="6" t="s">
        <v>17</v>
      </c>
      <c r="B11" s="7" t="s">
        <v>18</v>
      </c>
      <c r="C11" s="6" t="s">
        <v>19</v>
      </c>
      <c r="D11" s="6" t="s">
        <v>39</v>
      </c>
      <c r="E11" s="6" t="s">
        <v>40</v>
      </c>
      <c r="F11" s="8">
        <v>1</v>
      </c>
      <c r="G11" s="9">
        <v>27705</v>
      </c>
      <c r="H11" s="8">
        <v>27705</v>
      </c>
      <c r="I11" s="10">
        <v>1</v>
      </c>
      <c r="J11" s="11">
        <v>0</v>
      </c>
      <c r="K11" s="7">
        <v>0</v>
      </c>
      <c r="L11" s="9">
        <v>27705</v>
      </c>
      <c r="M11" s="8">
        <v>27705</v>
      </c>
      <c r="N11" s="12" t="s">
        <v>23</v>
      </c>
      <c r="O11" s="12" t="s">
        <v>24</v>
      </c>
      <c r="P11" s="6" t="s">
        <v>19</v>
      </c>
      <c r="Q11" s="13"/>
      <c r="R11" s="14"/>
    </row>
    <row r="12" spans="1:18" ht="21" customHeight="1" x14ac:dyDescent="0.2">
      <c r="A12" s="6" t="s">
        <v>17</v>
      </c>
      <c r="B12" s="7" t="s">
        <v>18</v>
      </c>
      <c r="C12" s="6" t="s">
        <v>19</v>
      </c>
      <c r="D12" s="6" t="s">
        <v>41</v>
      </c>
      <c r="E12" s="6" t="s">
        <v>42</v>
      </c>
      <c r="F12" s="8">
        <v>4</v>
      </c>
      <c r="G12" s="9">
        <v>93681</v>
      </c>
      <c r="H12" s="8">
        <v>23420.25</v>
      </c>
      <c r="I12" s="10"/>
      <c r="J12" s="11"/>
      <c r="K12" s="7"/>
      <c r="L12" s="9"/>
      <c r="M12" s="8"/>
      <c r="N12" s="12" t="s">
        <v>23</v>
      </c>
      <c r="O12" s="12" t="s">
        <v>24</v>
      </c>
      <c r="P12" s="6" t="s">
        <v>19</v>
      </c>
      <c r="Q12" s="13"/>
      <c r="R12" s="14"/>
    </row>
    <row r="13" spans="1:18" ht="21" customHeight="1" x14ac:dyDescent="0.2">
      <c r="A13" s="6" t="s">
        <v>17</v>
      </c>
      <c r="B13" s="7" t="s">
        <v>18</v>
      </c>
      <c r="C13" s="6" t="s">
        <v>19</v>
      </c>
      <c r="D13" s="6" t="s">
        <v>43</v>
      </c>
      <c r="E13" s="6" t="s">
        <v>44</v>
      </c>
      <c r="F13" s="8">
        <v>3</v>
      </c>
      <c r="G13" s="9">
        <v>62176</v>
      </c>
      <c r="H13" s="8">
        <v>20725.333333333332</v>
      </c>
      <c r="I13" s="10"/>
      <c r="J13" s="11"/>
      <c r="K13" s="7"/>
      <c r="L13" s="9"/>
      <c r="M13" s="8"/>
      <c r="N13" s="12" t="s">
        <v>23</v>
      </c>
      <c r="O13" s="12" t="s">
        <v>24</v>
      </c>
      <c r="P13" s="6" t="s">
        <v>19</v>
      </c>
      <c r="Q13" s="13"/>
      <c r="R13" s="14"/>
    </row>
    <row r="14" spans="1:18" ht="21" customHeight="1" x14ac:dyDescent="0.2">
      <c r="A14" s="6" t="s">
        <v>17</v>
      </c>
      <c r="B14" s="7" t="s">
        <v>18</v>
      </c>
      <c r="C14" s="6" t="s">
        <v>19</v>
      </c>
      <c r="D14" s="6" t="s">
        <v>45</v>
      </c>
      <c r="E14" s="6" t="s">
        <v>46</v>
      </c>
      <c r="F14" s="8">
        <v>4</v>
      </c>
      <c r="G14" s="9">
        <v>78479</v>
      </c>
      <c r="H14" s="8">
        <v>19619.75</v>
      </c>
      <c r="I14" s="10"/>
      <c r="J14" s="11"/>
      <c r="K14" s="7"/>
      <c r="L14" s="9"/>
      <c r="M14" s="8"/>
      <c r="N14" s="12" t="s">
        <v>23</v>
      </c>
      <c r="O14" s="12" t="s">
        <v>24</v>
      </c>
      <c r="P14" s="6" t="s">
        <v>19</v>
      </c>
      <c r="Q14" s="13"/>
      <c r="R14" s="14"/>
    </row>
    <row r="15" spans="1:18" ht="21" customHeight="1" x14ac:dyDescent="0.2">
      <c r="A15" s="6" t="s">
        <v>17</v>
      </c>
      <c r="B15" s="7" t="s">
        <v>18</v>
      </c>
      <c r="C15" s="6" t="s">
        <v>19</v>
      </c>
      <c r="D15" s="6" t="s">
        <v>47</v>
      </c>
      <c r="E15" s="6" t="s">
        <v>48</v>
      </c>
      <c r="F15" s="8">
        <v>6</v>
      </c>
      <c r="G15" s="9">
        <v>117186</v>
      </c>
      <c r="H15" s="8">
        <v>19531</v>
      </c>
      <c r="I15" s="10"/>
      <c r="J15" s="11"/>
      <c r="K15" s="7"/>
      <c r="L15" s="9"/>
      <c r="M15" s="8"/>
      <c r="N15" s="12" t="s">
        <v>23</v>
      </c>
      <c r="O15" s="12" t="s">
        <v>24</v>
      </c>
      <c r="P15" s="6" t="s">
        <v>19</v>
      </c>
      <c r="Q15" s="13"/>
      <c r="R15" s="14"/>
    </row>
    <row r="16" spans="1:18" ht="21" customHeight="1" x14ac:dyDescent="0.2">
      <c r="A16" s="6" t="s">
        <v>17</v>
      </c>
      <c r="B16" s="7" t="s">
        <v>18</v>
      </c>
      <c r="C16" s="6" t="s">
        <v>19</v>
      </c>
      <c r="D16" s="6" t="s">
        <v>49</v>
      </c>
      <c r="E16" s="6" t="s">
        <v>50</v>
      </c>
      <c r="F16" s="8">
        <v>1</v>
      </c>
      <c r="G16" s="9">
        <v>19442.3</v>
      </c>
      <c r="H16" s="8">
        <v>19442.3</v>
      </c>
      <c r="I16" s="10"/>
      <c r="J16" s="11"/>
      <c r="K16" s="7"/>
      <c r="L16" s="9"/>
      <c r="M16" s="8"/>
      <c r="N16" s="12" t="s">
        <v>23</v>
      </c>
      <c r="O16" s="12" t="s">
        <v>24</v>
      </c>
      <c r="P16" s="6" t="s">
        <v>19</v>
      </c>
      <c r="Q16" s="13"/>
      <c r="R16" s="14"/>
    </row>
    <row r="17" spans="1:18" ht="21" customHeight="1" x14ac:dyDescent="0.2">
      <c r="A17" s="6" t="s">
        <v>17</v>
      </c>
      <c r="B17" s="7" t="s">
        <v>18</v>
      </c>
      <c r="C17" s="6" t="s">
        <v>19</v>
      </c>
      <c r="D17" s="6" t="s">
        <v>51</v>
      </c>
      <c r="E17" s="6" t="s">
        <v>52</v>
      </c>
      <c r="F17" s="8">
        <v>1</v>
      </c>
      <c r="G17" s="9">
        <v>17850</v>
      </c>
      <c r="H17" s="8">
        <v>17850</v>
      </c>
      <c r="I17" s="10"/>
      <c r="J17" s="11"/>
      <c r="K17" s="7"/>
      <c r="L17" s="9"/>
      <c r="M17" s="8"/>
      <c r="N17" s="12" t="s">
        <v>23</v>
      </c>
      <c r="O17" s="12" t="s">
        <v>24</v>
      </c>
      <c r="P17" s="6" t="s">
        <v>19</v>
      </c>
      <c r="Q17" s="13"/>
      <c r="R17" s="14"/>
    </row>
    <row r="18" spans="1:18" ht="21" customHeight="1" x14ac:dyDescent="0.2">
      <c r="A18" s="6" t="s">
        <v>17</v>
      </c>
      <c r="B18" s="7" t="s">
        <v>18</v>
      </c>
      <c r="C18" s="6" t="s">
        <v>19</v>
      </c>
      <c r="D18" s="6" t="s">
        <v>53</v>
      </c>
      <c r="E18" s="6" t="s">
        <v>54</v>
      </c>
      <c r="F18" s="8">
        <v>2</v>
      </c>
      <c r="G18" s="9">
        <v>35180.32</v>
      </c>
      <c r="H18" s="8">
        <v>17590.16</v>
      </c>
      <c r="I18" s="10"/>
      <c r="J18" s="11"/>
      <c r="K18" s="7"/>
      <c r="L18" s="9"/>
      <c r="M18" s="8"/>
      <c r="N18" s="12" t="s">
        <v>23</v>
      </c>
      <c r="O18" s="12" t="s">
        <v>24</v>
      </c>
      <c r="P18" s="6" t="s">
        <v>19</v>
      </c>
      <c r="Q18" s="13"/>
      <c r="R18" s="14"/>
    </row>
    <row r="19" spans="1:18" ht="21" customHeight="1" x14ac:dyDescent="0.2">
      <c r="A19" s="6" t="s">
        <v>17</v>
      </c>
      <c r="B19" s="7" t="s">
        <v>18</v>
      </c>
      <c r="C19" s="6" t="s">
        <v>19</v>
      </c>
      <c r="D19" s="6" t="s">
        <v>55</v>
      </c>
      <c r="E19" s="6" t="s">
        <v>56</v>
      </c>
      <c r="F19" s="8">
        <v>8</v>
      </c>
      <c r="G19" s="9">
        <v>135084</v>
      </c>
      <c r="H19" s="8">
        <v>16885.5</v>
      </c>
      <c r="I19" s="10"/>
      <c r="J19" s="11"/>
      <c r="K19" s="7"/>
      <c r="L19" s="9"/>
      <c r="M19" s="8"/>
      <c r="N19" s="12" t="s">
        <v>23</v>
      </c>
      <c r="O19" s="12" t="s">
        <v>24</v>
      </c>
      <c r="P19" s="6" t="s">
        <v>19</v>
      </c>
      <c r="Q19" s="13"/>
      <c r="R19" s="14"/>
    </row>
    <row r="20" spans="1:18" ht="21" customHeight="1" x14ac:dyDescent="0.2">
      <c r="A20" s="6" t="s">
        <v>17</v>
      </c>
      <c r="B20" s="7" t="s">
        <v>18</v>
      </c>
      <c r="C20" s="6" t="s">
        <v>19</v>
      </c>
      <c r="D20" s="6" t="s">
        <v>57</v>
      </c>
      <c r="E20" s="6" t="s">
        <v>58</v>
      </c>
      <c r="F20" s="8">
        <v>2</v>
      </c>
      <c r="G20" s="9">
        <v>32138</v>
      </c>
      <c r="H20" s="8">
        <v>16069</v>
      </c>
      <c r="I20" s="10"/>
      <c r="J20" s="11"/>
      <c r="K20" s="7"/>
      <c r="L20" s="9"/>
      <c r="M20" s="8"/>
      <c r="N20" s="12" t="s">
        <v>23</v>
      </c>
      <c r="O20" s="12" t="s">
        <v>24</v>
      </c>
      <c r="P20" s="6" t="s">
        <v>19</v>
      </c>
      <c r="Q20" s="13"/>
      <c r="R20" s="14"/>
    </row>
    <row r="21" spans="1:18" ht="21" customHeight="1" x14ac:dyDescent="0.2">
      <c r="A21" s="6" t="s">
        <v>17</v>
      </c>
      <c r="B21" s="7" t="s">
        <v>18</v>
      </c>
      <c r="C21" s="6" t="s">
        <v>19</v>
      </c>
      <c r="D21" s="6" t="s">
        <v>59</v>
      </c>
      <c r="E21" s="6" t="s">
        <v>60</v>
      </c>
      <c r="F21" s="8">
        <v>9</v>
      </c>
      <c r="G21" s="9">
        <v>141607</v>
      </c>
      <c r="H21" s="8">
        <v>15734.111111111111</v>
      </c>
      <c r="I21" s="10">
        <v>2</v>
      </c>
      <c r="J21" s="11">
        <v>1</v>
      </c>
      <c r="K21" s="7">
        <v>0.5</v>
      </c>
      <c r="L21" s="9">
        <v>4976</v>
      </c>
      <c r="M21" s="8">
        <v>2488</v>
      </c>
      <c r="N21" s="12" t="s">
        <v>23</v>
      </c>
      <c r="O21" s="12" t="s">
        <v>24</v>
      </c>
      <c r="P21" s="6" t="s">
        <v>19</v>
      </c>
      <c r="Q21" s="13"/>
      <c r="R21" s="14"/>
    </row>
    <row r="22" spans="1:18" ht="21" customHeight="1" x14ac:dyDescent="0.2">
      <c r="A22" s="6" t="s">
        <v>17</v>
      </c>
      <c r="B22" s="7" t="s">
        <v>18</v>
      </c>
      <c r="C22" s="6" t="s">
        <v>19</v>
      </c>
      <c r="D22" s="6" t="s">
        <v>61</v>
      </c>
      <c r="E22" s="6" t="s">
        <v>62</v>
      </c>
      <c r="F22" s="8">
        <v>6</v>
      </c>
      <c r="G22" s="9">
        <v>85599</v>
      </c>
      <c r="H22" s="8">
        <v>14266.5</v>
      </c>
      <c r="I22" s="10">
        <v>1</v>
      </c>
      <c r="J22" s="11">
        <v>0</v>
      </c>
      <c r="K22" s="7">
        <v>0</v>
      </c>
      <c r="L22" s="9">
        <v>33297</v>
      </c>
      <c r="M22" s="8">
        <v>33297</v>
      </c>
      <c r="N22" s="12" t="s">
        <v>23</v>
      </c>
      <c r="O22" s="12" t="s">
        <v>24</v>
      </c>
      <c r="P22" s="6" t="s">
        <v>19</v>
      </c>
      <c r="Q22" s="13"/>
      <c r="R22" s="14"/>
    </row>
    <row r="23" spans="1:18" ht="21" customHeight="1" x14ac:dyDescent="0.2">
      <c r="A23" s="6" t="s">
        <v>17</v>
      </c>
      <c r="B23" s="7" t="s">
        <v>18</v>
      </c>
      <c r="C23" s="6" t="s">
        <v>19</v>
      </c>
      <c r="D23" s="6" t="s">
        <v>63</v>
      </c>
      <c r="E23" s="6" t="s">
        <v>64</v>
      </c>
      <c r="F23" s="8">
        <v>18</v>
      </c>
      <c r="G23" s="9">
        <v>243303</v>
      </c>
      <c r="H23" s="8">
        <v>13516.833333333334</v>
      </c>
      <c r="I23" s="10"/>
      <c r="J23" s="11"/>
      <c r="K23" s="7"/>
      <c r="L23" s="9"/>
      <c r="M23" s="8"/>
      <c r="N23" s="12" t="s">
        <v>23</v>
      </c>
      <c r="O23" s="12" t="s">
        <v>24</v>
      </c>
      <c r="P23" s="6" t="s">
        <v>19</v>
      </c>
      <c r="Q23" s="13"/>
      <c r="R23" s="14"/>
    </row>
    <row r="24" spans="1:18" ht="21" customHeight="1" x14ac:dyDescent="0.2">
      <c r="A24" s="6" t="s">
        <v>17</v>
      </c>
      <c r="B24" s="7" t="s">
        <v>18</v>
      </c>
      <c r="C24" s="6" t="s">
        <v>19</v>
      </c>
      <c r="D24" s="6" t="s">
        <v>65</v>
      </c>
      <c r="E24" s="6" t="s">
        <v>66</v>
      </c>
      <c r="F24" s="8">
        <v>22</v>
      </c>
      <c r="G24" s="9">
        <v>241691</v>
      </c>
      <c r="H24" s="8">
        <v>10985.954545454546</v>
      </c>
      <c r="I24" s="10"/>
      <c r="J24" s="11"/>
      <c r="K24" s="7"/>
      <c r="L24" s="9"/>
      <c r="M24" s="8"/>
      <c r="N24" s="12" t="s">
        <v>23</v>
      </c>
      <c r="O24" s="12" t="s">
        <v>24</v>
      </c>
      <c r="P24" s="6" t="s">
        <v>19</v>
      </c>
      <c r="Q24" s="13"/>
      <c r="R24" s="14"/>
    </row>
    <row r="25" spans="1:18" ht="21" customHeight="1" x14ac:dyDescent="0.2">
      <c r="A25" s="6" t="s">
        <v>17</v>
      </c>
      <c r="B25" s="7" t="s">
        <v>18</v>
      </c>
      <c r="C25" s="6" t="s">
        <v>19</v>
      </c>
      <c r="D25" s="6" t="s">
        <v>67</v>
      </c>
      <c r="E25" s="6" t="s">
        <v>68</v>
      </c>
      <c r="F25" s="8">
        <v>31</v>
      </c>
      <c r="G25" s="9">
        <v>335871.87</v>
      </c>
      <c r="H25" s="8">
        <v>10834.576451612904</v>
      </c>
      <c r="I25" s="10">
        <v>1</v>
      </c>
      <c r="J25" s="11">
        <v>0</v>
      </c>
      <c r="K25" s="7">
        <v>0</v>
      </c>
      <c r="L25" s="9">
        <v>10200</v>
      </c>
      <c r="M25" s="8">
        <v>10200</v>
      </c>
      <c r="N25" s="12" t="s">
        <v>23</v>
      </c>
      <c r="O25" s="12" t="s">
        <v>24</v>
      </c>
      <c r="P25" s="6" t="s">
        <v>19</v>
      </c>
      <c r="Q25" s="13"/>
      <c r="R25" s="14"/>
    </row>
    <row r="26" spans="1:18" ht="21" customHeight="1" x14ac:dyDescent="0.2">
      <c r="A26" s="6" t="s">
        <v>17</v>
      </c>
      <c r="B26" s="7" t="s">
        <v>18</v>
      </c>
      <c r="C26" s="6" t="s">
        <v>19</v>
      </c>
      <c r="D26" s="6" t="s">
        <v>69</v>
      </c>
      <c r="E26" s="6" t="s">
        <v>70</v>
      </c>
      <c r="F26" s="8">
        <v>6</v>
      </c>
      <c r="G26" s="9">
        <v>64808</v>
      </c>
      <c r="H26" s="8">
        <v>10801.333333333334</v>
      </c>
      <c r="I26" s="10"/>
      <c r="J26" s="11"/>
      <c r="K26" s="7"/>
      <c r="L26" s="9"/>
      <c r="M26" s="8"/>
      <c r="N26" s="12" t="s">
        <v>23</v>
      </c>
      <c r="O26" s="12" t="s">
        <v>24</v>
      </c>
      <c r="P26" s="6" t="s">
        <v>19</v>
      </c>
      <c r="Q26" s="13"/>
      <c r="R26" s="14"/>
    </row>
    <row r="27" spans="1:18" ht="21" customHeight="1" x14ac:dyDescent="0.2">
      <c r="A27" s="6" t="s">
        <v>17</v>
      </c>
      <c r="B27" s="7" t="s">
        <v>18</v>
      </c>
      <c r="C27" s="6" t="s">
        <v>19</v>
      </c>
      <c r="D27" s="6" t="s">
        <v>71</v>
      </c>
      <c r="E27" s="6" t="s">
        <v>72</v>
      </c>
      <c r="F27" s="8">
        <v>8</v>
      </c>
      <c r="G27" s="9">
        <v>84590</v>
      </c>
      <c r="H27" s="8">
        <v>10573.75</v>
      </c>
      <c r="I27" s="10"/>
      <c r="J27" s="11"/>
      <c r="K27" s="7"/>
      <c r="L27" s="9"/>
      <c r="M27" s="8"/>
      <c r="N27" s="12" t="s">
        <v>23</v>
      </c>
      <c r="O27" s="12" t="s">
        <v>24</v>
      </c>
      <c r="P27" s="6" t="s">
        <v>19</v>
      </c>
      <c r="Q27" s="13"/>
      <c r="R27" s="14"/>
    </row>
    <row r="28" spans="1:18" ht="21" customHeight="1" x14ac:dyDescent="0.2">
      <c r="A28" s="6" t="s">
        <v>17</v>
      </c>
      <c r="B28" s="7" t="s">
        <v>18</v>
      </c>
      <c r="C28" s="6" t="s">
        <v>19</v>
      </c>
      <c r="D28" s="6" t="s">
        <v>73</v>
      </c>
      <c r="E28" s="6" t="s">
        <v>74</v>
      </c>
      <c r="F28" s="8">
        <v>2</v>
      </c>
      <c r="G28" s="9">
        <v>19157</v>
      </c>
      <c r="H28" s="8">
        <v>9578.5</v>
      </c>
      <c r="I28" s="10"/>
      <c r="J28" s="11"/>
      <c r="K28" s="7"/>
      <c r="L28" s="9"/>
      <c r="M28" s="8"/>
      <c r="N28" s="12" t="s">
        <v>23</v>
      </c>
      <c r="O28" s="12" t="s">
        <v>24</v>
      </c>
      <c r="P28" s="6" t="s">
        <v>19</v>
      </c>
      <c r="Q28" s="13"/>
      <c r="R28" s="14"/>
    </row>
    <row r="29" spans="1:18" ht="21" customHeight="1" x14ac:dyDescent="0.2">
      <c r="A29" s="6" t="s">
        <v>17</v>
      </c>
      <c r="B29" s="7" t="s">
        <v>18</v>
      </c>
      <c r="C29" s="6" t="s">
        <v>19</v>
      </c>
      <c r="D29" s="6" t="s">
        <v>75</v>
      </c>
      <c r="E29" s="6" t="s">
        <v>76</v>
      </c>
      <c r="F29" s="8">
        <v>34</v>
      </c>
      <c r="G29" s="9">
        <v>318484.25</v>
      </c>
      <c r="H29" s="8">
        <v>9367.1838235294126</v>
      </c>
      <c r="I29" s="10">
        <v>1</v>
      </c>
      <c r="J29" s="11">
        <v>0</v>
      </c>
      <c r="K29" s="7">
        <v>0</v>
      </c>
      <c r="L29" s="9">
        <v>1</v>
      </c>
      <c r="M29" s="8">
        <v>1</v>
      </c>
      <c r="N29" s="12" t="s">
        <v>23</v>
      </c>
      <c r="O29" s="12" t="s">
        <v>24</v>
      </c>
      <c r="P29" s="6" t="s">
        <v>19</v>
      </c>
      <c r="Q29" s="13"/>
      <c r="R29" s="14"/>
    </row>
    <row r="30" spans="1:18" ht="21" customHeight="1" x14ac:dyDescent="0.2">
      <c r="A30" s="6" t="s">
        <v>17</v>
      </c>
      <c r="B30" s="7" t="s">
        <v>18</v>
      </c>
      <c r="C30" s="6" t="s">
        <v>19</v>
      </c>
      <c r="D30" s="6" t="s">
        <v>77</v>
      </c>
      <c r="E30" s="6" t="s">
        <v>78</v>
      </c>
      <c r="F30" s="8">
        <v>24</v>
      </c>
      <c r="G30" s="9">
        <v>216633.01</v>
      </c>
      <c r="H30" s="8">
        <v>9026.3754166666677</v>
      </c>
      <c r="I30" s="10">
        <v>3</v>
      </c>
      <c r="J30" s="11">
        <v>0</v>
      </c>
      <c r="K30" s="7">
        <v>0</v>
      </c>
      <c r="L30" s="9">
        <v>7031.01</v>
      </c>
      <c r="M30" s="8">
        <v>2343.67</v>
      </c>
      <c r="N30" s="12" t="s">
        <v>23</v>
      </c>
      <c r="O30" s="12" t="s">
        <v>24</v>
      </c>
      <c r="P30" s="6" t="s">
        <v>19</v>
      </c>
      <c r="Q30" s="13"/>
      <c r="R30" s="14"/>
    </row>
    <row r="31" spans="1:18" ht="21" customHeight="1" x14ac:dyDescent="0.2">
      <c r="A31" s="6" t="s">
        <v>17</v>
      </c>
      <c r="B31" s="7" t="s">
        <v>18</v>
      </c>
      <c r="C31" s="6" t="s">
        <v>19</v>
      </c>
      <c r="D31" s="6" t="s">
        <v>79</v>
      </c>
      <c r="E31" s="6" t="s">
        <v>80</v>
      </c>
      <c r="F31" s="8">
        <v>11</v>
      </c>
      <c r="G31" s="9">
        <v>99082</v>
      </c>
      <c r="H31" s="8">
        <v>9007.454545454546</v>
      </c>
      <c r="I31" s="10"/>
      <c r="J31" s="11"/>
      <c r="K31" s="7"/>
      <c r="L31" s="9"/>
      <c r="M31" s="8"/>
      <c r="N31" s="12" t="s">
        <v>23</v>
      </c>
      <c r="O31" s="12" t="s">
        <v>24</v>
      </c>
      <c r="P31" s="6" t="s">
        <v>19</v>
      </c>
      <c r="Q31" s="13"/>
      <c r="R31" s="14"/>
    </row>
    <row r="32" spans="1:18" ht="21" customHeight="1" x14ac:dyDescent="0.2">
      <c r="A32" s="6" t="s">
        <v>17</v>
      </c>
      <c r="B32" s="7" t="s">
        <v>18</v>
      </c>
      <c r="C32" s="6" t="s">
        <v>19</v>
      </c>
      <c r="D32" s="6" t="s">
        <v>81</v>
      </c>
      <c r="E32" s="6" t="s">
        <v>82</v>
      </c>
      <c r="F32" s="8">
        <v>1</v>
      </c>
      <c r="G32" s="9">
        <v>8602</v>
      </c>
      <c r="H32" s="8">
        <v>8602</v>
      </c>
      <c r="I32" s="10"/>
      <c r="J32" s="11"/>
      <c r="K32" s="7"/>
      <c r="L32" s="9"/>
      <c r="M32" s="8"/>
      <c r="N32" s="12" t="s">
        <v>23</v>
      </c>
      <c r="O32" s="12" t="s">
        <v>24</v>
      </c>
      <c r="P32" s="6" t="s">
        <v>19</v>
      </c>
      <c r="Q32" s="13"/>
      <c r="R32" s="14"/>
    </row>
    <row r="33" spans="1:18" ht="21" customHeight="1" x14ac:dyDescent="0.2">
      <c r="A33" s="6" t="s">
        <v>17</v>
      </c>
      <c r="B33" s="7" t="s">
        <v>18</v>
      </c>
      <c r="C33" s="6" t="s">
        <v>19</v>
      </c>
      <c r="D33" s="6" t="s">
        <v>83</v>
      </c>
      <c r="E33" s="6" t="s">
        <v>84</v>
      </c>
      <c r="F33" s="8">
        <v>3</v>
      </c>
      <c r="G33" s="9">
        <v>24935.99</v>
      </c>
      <c r="H33" s="8">
        <v>8311.9966666666678</v>
      </c>
      <c r="I33" s="10"/>
      <c r="J33" s="11"/>
      <c r="K33" s="7"/>
      <c r="L33" s="9"/>
      <c r="M33" s="8"/>
      <c r="N33" s="12" t="s">
        <v>23</v>
      </c>
      <c r="O33" s="12" t="s">
        <v>24</v>
      </c>
      <c r="P33" s="6" t="s">
        <v>19</v>
      </c>
      <c r="Q33" s="13"/>
      <c r="R33" s="14"/>
    </row>
    <row r="34" spans="1:18" ht="21" customHeight="1" x14ac:dyDescent="0.2">
      <c r="A34" s="6" t="s">
        <v>17</v>
      </c>
      <c r="B34" s="7" t="s">
        <v>18</v>
      </c>
      <c r="C34" s="6" t="s">
        <v>19</v>
      </c>
      <c r="D34" s="6" t="s">
        <v>85</v>
      </c>
      <c r="E34" s="6" t="s">
        <v>86</v>
      </c>
      <c r="F34" s="8">
        <v>2</v>
      </c>
      <c r="G34" s="9">
        <v>15843</v>
      </c>
      <c r="H34" s="8">
        <v>7921.5</v>
      </c>
      <c r="I34" s="10"/>
      <c r="J34" s="11"/>
      <c r="K34" s="7"/>
      <c r="L34" s="9"/>
      <c r="M34" s="8"/>
      <c r="N34" s="12" t="s">
        <v>23</v>
      </c>
      <c r="O34" s="12" t="s">
        <v>24</v>
      </c>
      <c r="P34" s="6" t="s">
        <v>19</v>
      </c>
      <c r="Q34" s="13"/>
      <c r="R34" s="14"/>
    </row>
    <row r="35" spans="1:18" ht="21" customHeight="1" x14ac:dyDescent="0.2">
      <c r="A35" s="6" t="s">
        <v>17</v>
      </c>
      <c r="B35" s="7" t="s">
        <v>18</v>
      </c>
      <c r="C35" s="6" t="s">
        <v>19</v>
      </c>
      <c r="D35" s="6" t="s">
        <v>87</v>
      </c>
      <c r="E35" s="6" t="s">
        <v>88</v>
      </c>
      <c r="F35" s="8">
        <v>15</v>
      </c>
      <c r="G35" s="9">
        <v>113455</v>
      </c>
      <c r="H35" s="8">
        <v>7563.666666666667</v>
      </c>
      <c r="I35" s="10"/>
      <c r="J35" s="11"/>
      <c r="K35" s="7"/>
      <c r="L35" s="9"/>
      <c r="M35" s="8"/>
      <c r="N35" s="12" t="s">
        <v>23</v>
      </c>
      <c r="O35" s="12" t="s">
        <v>24</v>
      </c>
      <c r="P35" s="6" t="s">
        <v>19</v>
      </c>
      <c r="Q35" s="13"/>
      <c r="R35" s="14"/>
    </row>
    <row r="36" spans="1:18" ht="21" customHeight="1" x14ac:dyDescent="0.2">
      <c r="A36" s="6" t="s">
        <v>17</v>
      </c>
      <c r="B36" s="7" t="s">
        <v>18</v>
      </c>
      <c r="C36" s="6" t="s">
        <v>19</v>
      </c>
      <c r="D36" s="6" t="s">
        <v>89</v>
      </c>
      <c r="E36" s="6" t="s">
        <v>90</v>
      </c>
      <c r="F36" s="8">
        <v>8</v>
      </c>
      <c r="G36" s="9">
        <v>59018</v>
      </c>
      <c r="H36" s="8">
        <v>7377.25</v>
      </c>
      <c r="I36" s="10">
        <v>1</v>
      </c>
      <c r="J36" s="11">
        <v>0</v>
      </c>
      <c r="K36" s="7">
        <v>0</v>
      </c>
      <c r="L36" s="9">
        <v>18838</v>
      </c>
      <c r="M36" s="8">
        <v>18838</v>
      </c>
      <c r="N36" s="12" t="s">
        <v>23</v>
      </c>
      <c r="O36" s="12" t="s">
        <v>24</v>
      </c>
      <c r="P36" s="6" t="s">
        <v>19</v>
      </c>
      <c r="Q36" s="13"/>
      <c r="R36" s="14"/>
    </row>
    <row r="37" spans="1:18" ht="21" customHeight="1" x14ac:dyDescent="0.2">
      <c r="A37" s="6" t="s">
        <v>17</v>
      </c>
      <c r="B37" s="7" t="s">
        <v>18</v>
      </c>
      <c r="C37" s="6" t="s">
        <v>19</v>
      </c>
      <c r="D37" s="6" t="s">
        <v>91</v>
      </c>
      <c r="E37" s="6" t="s">
        <v>92</v>
      </c>
      <c r="F37" s="8">
        <v>2</v>
      </c>
      <c r="G37" s="9">
        <v>14600</v>
      </c>
      <c r="H37" s="8">
        <v>7300</v>
      </c>
      <c r="I37" s="10"/>
      <c r="J37" s="11"/>
      <c r="K37" s="7"/>
      <c r="L37" s="9"/>
      <c r="M37" s="8"/>
      <c r="N37" s="12" t="s">
        <v>23</v>
      </c>
      <c r="O37" s="12" t="s">
        <v>24</v>
      </c>
      <c r="P37" s="6" t="s">
        <v>19</v>
      </c>
      <c r="Q37" s="13"/>
      <c r="R37" s="14"/>
    </row>
    <row r="38" spans="1:18" ht="21" customHeight="1" x14ac:dyDescent="0.2">
      <c r="A38" s="6" t="s">
        <v>17</v>
      </c>
      <c r="B38" s="7" t="s">
        <v>18</v>
      </c>
      <c r="C38" s="6" t="s">
        <v>19</v>
      </c>
      <c r="D38" s="6" t="s">
        <v>93</v>
      </c>
      <c r="E38" s="6" t="s">
        <v>94</v>
      </c>
      <c r="F38" s="8">
        <v>20</v>
      </c>
      <c r="G38" s="9">
        <v>140521</v>
      </c>
      <c r="H38" s="8">
        <v>7026.05</v>
      </c>
      <c r="I38" s="10"/>
      <c r="J38" s="11"/>
      <c r="K38" s="7"/>
      <c r="L38" s="9"/>
      <c r="M38" s="8"/>
      <c r="N38" s="12" t="s">
        <v>23</v>
      </c>
      <c r="O38" s="12" t="s">
        <v>24</v>
      </c>
      <c r="P38" s="6" t="s">
        <v>19</v>
      </c>
      <c r="Q38" s="13"/>
      <c r="R38" s="14"/>
    </row>
    <row r="39" spans="1:18" ht="21" customHeight="1" x14ac:dyDescent="0.2">
      <c r="A39" s="6" t="s">
        <v>17</v>
      </c>
      <c r="B39" s="7" t="s">
        <v>18</v>
      </c>
      <c r="C39" s="6" t="s">
        <v>19</v>
      </c>
      <c r="D39" s="6" t="s">
        <v>95</v>
      </c>
      <c r="E39" s="6" t="s">
        <v>96</v>
      </c>
      <c r="F39" s="8">
        <v>16</v>
      </c>
      <c r="G39" s="9">
        <v>95701</v>
      </c>
      <c r="H39" s="8">
        <v>5981.3125</v>
      </c>
      <c r="I39" s="10">
        <v>1</v>
      </c>
      <c r="J39" s="11">
        <v>1</v>
      </c>
      <c r="K39" s="7">
        <v>1</v>
      </c>
      <c r="L39" s="9"/>
      <c r="M39" s="8"/>
      <c r="N39" s="12" t="s">
        <v>23</v>
      </c>
      <c r="O39" s="12" t="s">
        <v>24</v>
      </c>
      <c r="P39" s="6" t="s">
        <v>19</v>
      </c>
      <c r="Q39" s="13"/>
      <c r="R39" s="14"/>
    </row>
    <row r="40" spans="1:18" ht="21" customHeight="1" x14ac:dyDescent="0.2">
      <c r="A40" s="6" t="s">
        <v>17</v>
      </c>
      <c r="B40" s="7" t="s">
        <v>18</v>
      </c>
      <c r="C40" s="6" t="s">
        <v>19</v>
      </c>
      <c r="D40" s="6" t="s">
        <v>97</v>
      </c>
      <c r="E40" s="6" t="s">
        <v>98</v>
      </c>
      <c r="F40" s="8">
        <v>1</v>
      </c>
      <c r="G40" s="9">
        <v>5759</v>
      </c>
      <c r="H40" s="8">
        <v>5759</v>
      </c>
      <c r="I40" s="10">
        <v>1</v>
      </c>
      <c r="J40" s="11">
        <v>0</v>
      </c>
      <c r="K40" s="7">
        <v>0</v>
      </c>
      <c r="L40" s="9">
        <v>5759</v>
      </c>
      <c r="M40" s="8">
        <v>5759</v>
      </c>
      <c r="N40" s="12" t="s">
        <v>23</v>
      </c>
      <c r="O40" s="12" t="s">
        <v>24</v>
      </c>
      <c r="P40" s="6" t="s">
        <v>19</v>
      </c>
      <c r="Q40" s="13"/>
      <c r="R40" s="14"/>
    </row>
    <row r="41" spans="1:18" ht="21" customHeight="1" x14ac:dyDescent="0.2">
      <c r="A41" s="6" t="s">
        <v>17</v>
      </c>
      <c r="B41" s="7" t="s">
        <v>18</v>
      </c>
      <c r="C41" s="6" t="s">
        <v>19</v>
      </c>
      <c r="D41" s="6" t="s">
        <v>99</v>
      </c>
      <c r="E41" s="6" t="s">
        <v>100</v>
      </c>
      <c r="F41" s="8">
        <v>3</v>
      </c>
      <c r="G41" s="9">
        <v>15029.99</v>
      </c>
      <c r="H41" s="8">
        <v>5009.9966666666669</v>
      </c>
      <c r="I41" s="10"/>
      <c r="J41" s="11"/>
      <c r="K41" s="7"/>
      <c r="L41" s="9"/>
      <c r="M41" s="8"/>
      <c r="N41" s="12" t="s">
        <v>23</v>
      </c>
      <c r="O41" s="12" t="s">
        <v>24</v>
      </c>
      <c r="P41" s="6" t="s">
        <v>19</v>
      </c>
      <c r="Q41" s="13"/>
      <c r="R41" s="14"/>
    </row>
    <row r="42" spans="1:18" ht="21" customHeight="1" x14ac:dyDescent="0.2">
      <c r="A42" s="6" t="s">
        <v>17</v>
      </c>
      <c r="B42" s="7" t="s">
        <v>18</v>
      </c>
      <c r="C42" s="6" t="s">
        <v>19</v>
      </c>
      <c r="D42" s="6" t="s">
        <v>101</v>
      </c>
      <c r="E42" s="6" t="s">
        <v>102</v>
      </c>
      <c r="F42" s="8">
        <v>1</v>
      </c>
      <c r="G42" s="9">
        <v>4986</v>
      </c>
      <c r="H42" s="8">
        <v>4986</v>
      </c>
      <c r="I42" s="10"/>
      <c r="J42" s="11"/>
      <c r="K42" s="7"/>
      <c r="L42" s="9"/>
      <c r="M42" s="8"/>
      <c r="N42" s="12" t="s">
        <v>23</v>
      </c>
      <c r="O42" s="12" t="s">
        <v>24</v>
      </c>
      <c r="P42" s="6" t="s">
        <v>19</v>
      </c>
      <c r="Q42" s="13"/>
      <c r="R42" s="14"/>
    </row>
    <row r="43" spans="1:18" ht="21" customHeight="1" x14ac:dyDescent="0.2">
      <c r="A43" s="6" t="s">
        <v>17</v>
      </c>
      <c r="B43" s="7" t="s">
        <v>18</v>
      </c>
      <c r="C43" s="6" t="s">
        <v>19</v>
      </c>
      <c r="D43" s="6" t="s">
        <v>103</v>
      </c>
      <c r="E43" s="6" t="s">
        <v>104</v>
      </c>
      <c r="F43" s="8">
        <v>3</v>
      </c>
      <c r="G43" s="9">
        <v>14711</v>
      </c>
      <c r="H43" s="8">
        <v>4903.666666666667</v>
      </c>
      <c r="I43" s="10"/>
      <c r="J43" s="11"/>
      <c r="K43" s="7"/>
      <c r="L43" s="9"/>
      <c r="M43" s="8"/>
      <c r="N43" s="12" t="s">
        <v>23</v>
      </c>
      <c r="O43" s="12" t="s">
        <v>24</v>
      </c>
      <c r="P43" s="6" t="s">
        <v>19</v>
      </c>
      <c r="Q43" s="13"/>
      <c r="R43" s="14"/>
    </row>
    <row r="44" spans="1:18" ht="21" customHeight="1" x14ac:dyDescent="0.2">
      <c r="A44" s="6" t="s">
        <v>17</v>
      </c>
      <c r="B44" s="7" t="s">
        <v>18</v>
      </c>
      <c r="C44" s="6" t="s">
        <v>19</v>
      </c>
      <c r="D44" s="6" t="s">
        <v>105</v>
      </c>
      <c r="E44" s="6" t="s">
        <v>106</v>
      </c>
      <c r="F44" s="8">
        <v>41</v>
      </c>
      <c r="G44" s="9">
        <v>191646</v>
      </c>
      <c r="H44" s="8">
        <v>4674.292682926829</v>
      </c>
      <c r="I44" s="10"/>
      <c r="J44" s="11"/>
      <c r="K44" s="7"/>
      <c r="L44" s="9"/>
      <c r="M44" s="8"/>
      <c r="N44" s="12" t="s">
        <v>23</v>
      </c>
      <c r="O44" s="12" t="s">
        <v>24</v>
      </c>
      <c r="P44" s="6" t="s">
        <v>19</v>
      </c>
      <c r="Q44" s="13"/>
      <c r="R44" s="14"/>
    </row>
    <row r="45" spans="1:18" ht="21" customHeight="1" x14ac:dyDescent="0.2">
      <c r="A45" s="6" t="s">
        <v>17</v>
      </c>
      <c r="B45" s="7" t="s">
        <v>18</v>
      </c>
      <c r="C45" s="6" t="s">
        <v>19</v>
      </c>
      <c r="D45" s="6" t="s">
        <v>107</v>
      </c>
      <c r="E45" s="6" t="s">
        <v>108</v>
      </c>
      <c r="F45" s="8">
        <v>21</v>
      </c>
      <c r="G45" s="9">
        <v>87901</v>
      </c>
      <c r="H45" s="8">
        <v>4185.7619047619046</v>
      </c>
      <c r="I45" s="10">
        <v>2</v>
      </c>
      <c r="J45" s="11">
        <v>0</v>
      </c>
      <c r="K45" s="7">
        <v>0</v>
      </c>
      <c r="L45" s="9">
        <v>5100</v>
      </c>
      <c r="M45" s="8">
        <v>2550</v>
      </c>
      <c r="N45" s="12" t="s">
        <v>23</v>
      </c>
      <c r="O45" s="12" t="s">
        <v>24</v>
      </c>
      <c r="P45" s="6" t="s">
        <v>19</v>
      </c>
      <c r="Q45" s="13"/>
      <c r="R45" s="14"/>
    </row>
    <row r="46" spans="1:18" ht="21" customHeight="1" x14ac:dyDescent="0.2">
      <c r="A46" s="6" t="s">
        <v>17</v>
      </c>
      <c r="B46" s="7" t="s">
        <v>18</v>
      </c>
      <c r="C46" s="6" t="s">
        <v>19</v>
      </c>
      <c r="D46" s="6" t="s">
        <v>109</v>
      </c>
      <c r="E46" s="6" t="s">
        <v>110</v>
      </c>
      <c r="F46" s="8">
        <v>22</v>
      </c>
      <c r="G46" s="9">
        <v>88667</v>
      </c>
      <c r="H46" s="8">
        <v>4030.318181818182</v>
      </c>
      <c r="I46" s="10"/>
      <c r="J46" s="11"/>
      <c r="K46" s="7"/>
      <c r="L46" s="9"/>
      <c r="M46" s="8"/>
      <c r="N46" s="12" t="s">
        <v>23</v>
      </c>
      <c r="O46" s="12" t="s">
        <v>24</v>
      </c>
      <c r="P46" s="6" t="s">
        <v>19</v>
      </c>
      <c r="Q46" s="13"/>
      <c r="R46" s="14"/>
    </row>
    <row r="47" spans="1:18" ht="21" customHeight="1" x14ac:dyDescent="0.2">
      <c r="A47" s="6" t="s">
        <v>17</v>
      </c>
      <c r="B47" s="7" t="s">
        <v>18</v>
      </c>
      <c r="C47" s="6" t="s">
        <v>19</v>
      </c>
      <c r="D47" s="6" t="s">
        <v>111</v>
      </c>
      <c r="E47" s="6" t="s">
        <v>112</v>
      </c>
      <c r="F47" s="8">
        <v>1</v>
      </c>
      <c r="G47" s="9">
        <v>3600</v>
      </c>
      <c r="H47" s="8">
        <v>3600</v>
      </c>
      <c r="I47" s="10"/>
      <c r="J47" s="11"/>
      <c r="K47" s="7"/>
      <c r="L47" s="9"/>
      <c r="M47" s="8"/>
      <c r="N47" s="12" t="s">
        <v>23</v>
      </c>
      <c r="O47" s="12" t="s">
        <v>24</v>
      </c>
      <c r="P47" s="6" t="s">
        <v>19</v>
      </c>
      <c r="Q47" s="13"/>
      <c r="R47" s="14"/>
    </row>
    <row r="48" spans="1:18" ht="21" customHeight="1" x14ac:dyDescent="0.2">
      <c r="A48" s="6" t="s">
        <v>17</v>
      </c>
      <c r="B48" s="7" t="s">
        <v>18</v>
      </c>
      <c r="C48" s="6" t="s">
        <v>19</v>
      </c>
      <c r="D48" s="6" t="s">
        <v>113</v>
      </c>
      <c r="E48" s="6" t="s">
        <v>114</v>
      </c>
      <c r="F48" s="8">
        <v>18</v>
      </c>
      <c r="G48" s="9">
        <v>55380.01</v>
      </c>
      <c r="H48" s="8">
        <v>3076.6672222222223</v>
      </c>
      <c r="I48" s="10"/>
      <c r="J48" s="11"/>
      <c r="K48" s="7"/>
      <c r="L48" s="9"/>
      <c r="M48" s="8"/>
      <c r="N48" s="12" t="s">
        <v>23</v>
      </c>
      <c r="O48" s="12" t="s">
        <v>24</v>
      </c>
      <c r="P48" s="6" t="s">
        <v>19</v>
      </c>
      <c r="Q48" s="13"/>
      <c r="R48" s="14"/>
    </row>
    <row r="49" spans="1:18" ht="21" customHeight="1" x14ac:dyDescent="0.2">
      <c r="A49" s="6" t="s">
        <v>17</v>
      </c>
      <c r="B49" s="7" t="s">
        <v>18</v>
      </c>
      <c r="C49" s="6" t="s">
        <v>19</v>
      </c>
      <c r="D49" s="6" t="s">
        <v>115</v>
      </c>
      <c r="E49" s="6" t="s">
        <v>116</v>
      </c>
      <c r="F49" s="8">
        <v>3</v>
      </c>
      <c r="G49" s="9">
        <v>9083</v>
      </c>
      <c r="H49" s="8">
        <v>3027.6666666666665</v>
      </c>
      <c r="I49" s="10"/>
      <c r="J49" s="11"/>
      <c r="K49" s="7"/>
      <c r="L49" s="9"/>
      <c r="M49" s="8"/>
      <c r="N49" s="12" t="s">
        <v>23</v>
      </c>
      <c r="O49" s="12" t="s">
        <v>24</v>
      </c>
      <c r="P49" s="6" t="s">
        <v>19</v>
      </c>
      <c r="Q49" s="13"/>
      <c r="R49" s="14"/>
    </row>
    <row r="50" spans="1:18" ht="21" customHeight="1" x14ac:dyDescent="0.2">
      <c r="A50" s="6" t="s">
        <v>17</v>
      </c>
      <c r="B50" s="7" t="s">
        <v>18</v>
      </c>
      <c r="C50" s="6" t="s">
        <v>19</v>
      </c>
      <c r="D50" s="6" t="s">
        <v>117</v>
      </c>
      <c r="E50" s="6" t="s">
        <v>118</v>
      </c>
      <c r="F50" s="8">
        <v>1</v>
      </c>
      <c r="G50" s="9">
        <v>3000.01</v>
      </c>
      <c r="H50" s="8">
        <v>3000.01</v>
      </c>
      <c r="I50" s="10"/>
      <c r="J50" s="11"/>
      <c r="K50" s="7"/>
      <c r="L50" s="9"/>
      <c r="M50" s="8"/>
      <c r="N50" s="12" t="s">
        <v>23</v>
      </c>
      <c r="O50" s="12" t="s">
        <v>24</v>
      </c>
      <c r="P50" s="6" t="s">
        <v>19</v>
      </c>
      <c r="Q50" s="13"/>
      <c r="R50" s="14"/>
    </row>
    <row r="51" spans="1:18" ht="21" customHeight="1" x14ac:dyDescent="0.2">
      <c r="A51" s="6" t="s">
        <v>17</v>
      </c>
      <c r="B51" s="7" t="s">
        <v>18</v>
      </c>
      <c r="C51" s="6" t="s">
        <v>19</v>
      </c>
      <c r="D51" s="6" t="s">
        <v>119</v>
      </c>
      <c r="E51" s="6" t="s">
        <v>120</v>
      </c>
      <c r="F51" s="8">
        <v>2</v>
      </c>
      <c r="G51" s="9">
        <v>5231</v>
      </c>
      <c r="H51" s="8">
        <v>2615.5</v>
      </c>
      <c r="I51" s="10"/>
      <c r="J51" s="11"/>
      <c r="K51" s="7"/>
      <c r="L51" s="9"/>
      <c r="M51" s="8"/>
      <c r="N51" s="12" t="s">
        <v>23</v>
      </c>
      <c r="O51" s="12" t="s">
        <v>24</v>
      </c>
      <c r="P51" s="6" t="s">
        <v>19</v>
      </c>
      <c r="Q51" s="13"/>
      <c r="R51" s="14"/>
    </row>
    <row r="52" spans="1:18" ht="21" customHeight="1" x14ac:dyDescent="0.2">
      <c r="A52" s="6" t="s">
        <v>17</v>
      </c>
      <c r="B52" s="7" t="s">
        <v>18</v>
      </c>
      <c r="C52" s="6" t="s">
        <v>19</v>
      </c>
      <c r="D52" s="6" t="s">
        <v>121</v>
      </c>
      <c r="E52" s="6" t="s">
        <v>122</v>
      </c>
      <c r="F52" s="8">
        <v>9</v>
      </c>
      <c r="G52" s="9">
        <v>19478</v>
      </c>
      <c r="H52" s="8">
        <v>2164.2222222222222</v>
      </c>
      <c r="I52" s="10"/>
      <c r="J52" s="11"/>
      <c r="K52" s="7"/>
      <c r="L52" s="9"/>
      <c r="M52" s="8"/>
      <c r="N52" s="12" t="s">
        <v>23</v>
      </c>
      <c r="O52" s="12" t="s">
        <v>24</v>
      </c>
      <c r="P52" s="6" t="s">
        <v>19</v>
      </c>
      <c r="Q52" s="13"/>
      <c r="R52" s="14"/>
    </row>
    <row r="53" spans="1:18" ht="21" customHeight="1" x14ac:dyDescent="0.2">
      <c r="A53" s="6" t="s">
        <v>17</v>
      </c>
      <c r="B53" s="7" t="s">
        <v>18</v>
      </c>
      <c r="C53" s="6" t="s">
        <v>19</v>
      </c>
      <c r="D53" s="6" t="s">
        <v>123</v>
      </c>
      <c r="E53" s="6" t="s">
        <v>124</v>
      </c>
      <c r="F53" s="8">
        <v>9</v>
      </c>
      <c r="G53" s="9">
        <v>14984.01</v>
      </c>
      <c r="H53" s="8">
        <v>1664.89</v>
      </c>
      <c r="I53" s="10"/>
      <c r="J53" s="11"/>
      <c r="K53" s="7"/>
      <c r="L53" s="9"/>
      <c r="M53" s="8"/>
      <c r="N53" s="12" t="s">
        <v>23</v>
      </c>
      <c r="O53" s="12" t="s">
        <v>24</v>
      </c>
      <c r="P53" s="6" t="s">
        <v>19</v>
      </c>
      <c r="Q53" s="13"/>
      <c r="R53" s="14"/>
    </row>
    <row r="54" spans="1:18" ht="21" customHeight="1" x14ac:dyDescent="0.2">
      <c r="A54" s="6" t="s">
        <v>17</v>
      </c>
      <c r="B54" s="7" t="s">
        <v>18</v>
      </c>
      <c r="C54" s="6" t="s">
        <v>19</v>
      </c>
      <c r="D54" s="6" t="s">
        <v>125</v>
      </c>
      <c r="E54" s="6" t="s">
        <v>126</v>
      </c>
      <c r="F54" s="8">
        <v>5</v>
      </c>
      <c r="G54" s="9">
        <v>8002</v>
      </c>
      <c r="H54" s="8">
        <v>1600.4</v>
      </c>
      <c r="I54" s="10">
        <v>1</v>
      </c>
      <c r="J54" s="11">
        <v>0</v>
      </c>
      <c r="K54" s="7">
        <v>0</v>
      </c>
      <c r="L54" s="9">
        <v>100</v>
      </c>
      <c r="M54" s="8">
        <v>100</v>
      </c>
      <c r="N54" s="12" t="s">
        <v>23</v>
      </c>
      <c r="O54" s="12" t="s">
        <v>24</v>
      </c>
      <c r="P54" s="6" t="s">
        <v>19</v>
      </c>
      <c r="Q54" s="13"/>
      <c r="R54" s="14"/>
    </row>
    <row r="55" spans="1:18" ht="21" customHeight="1" x14ac:dyDescent="0.2">
      <c r="A55" s="6" t="s">
        <v>17</v>
      </c>
      <c r="B55" s="7" t="s">
        <v>18</v>
      </c>
      <c r="C55" s="6" t="s">
        <v>19</v>
      </c>
      <c r="D55" s="6" t="s">
        <v>127</v>
      </c>
      <c r="E55" s="6" t="s">
        <v>128</v>
      </c>
      <c r="F55" s="8">
        <v>4</v>
      </c>
      <c r="G55" s="9">
        <v>6089</v>
      </c>
      <c r="H55" s="8">
        <v>1522.25</v>
      </c>
      <c r="I55" s="10"/>
      <c r="J55" s="11"/>
      <c r="K55" s="7"/>
      <c r="L55" s="9"/>
      <c r="M55" s="8"/>
      <c r="N55" s="12" t="s">
        <v>23</v>
      </c>
      <c r="O55" s="12" t="s">
        <v>24</v>
      </c>
      <c r="P55" s="6" t="s">
        <v>19</v>
      </c>
      <c r="Q55" s="13"/>
      <c r="R55" s="14"/>
    </row>
    <row r="56" spans="1:18" ht="21" customHeight="1" x14ac:dyDescent="0.2">
      <c r="A56" s="6" t="s">
        <v>17</v>
      </c>
      <c r="B56" s="7" t="s">
        <v>18</v>
      </c>
      <c r="C56" s="6" t="s">
        <v>19</v>
      </c>
      <c r="D56" s="6" t="s">
        <v>129</v>
      </c>
      <c r="E56" s="6" t="s">
        <v>130</v>
      </c>
      <c r="F56" s="8">
        <v>7</v>
      </c>
      <c r="G56" s="9">
        <v>9080</v>
      </c>
      <c r="H56" s="8">
        <v>1297.1428571428571</v>
      </c>
      <c r="I56" s="10"/>
      <c r="J56" s="11"/>
      <c r="K56" s="7"/>
      <c r="L56" s="9"/>
      <c r="M56" s="8"/>
      <c r="N56" s="12" t="s">
        <v>23</v>
      </c>
      <c r="O56" s="12" t="s">
        <v>24</v>
      </c>
      <c r="P56" s="6" t="s">
        <v>19</v>
      </c>
      <c r="Q56" s="13"/>
      <c r="R56" s="14"/>
    </row>
    <row r="57" spans="1:18" ht="21" customHeight="1" x14ac:dyDescent="0.2">
      <c r="A57" s="6" t="s">
        <v>17</v>
      </c>
      <c r="B57" s="7" t="s">
        <v>18</v>
      </c>
      <c r="C57" s="6" t="s">
        <v>19</v>
      </c>
      <c r="D57" s="6" t="s">
        <v>131</v>
      </c>
      <c r="E57" s="6" t="s">
        <v>132</v>
      </c>
      <c r="F57" s="8">
        <v>3</v>
      </c>
      <c r="G57" s="9">
        <v>2900</v>
      </c>
      <c r="H57" s="8">
        <v>966.66666666666663</v>
      </c>
      <c r="I57" s="10"/>
      <c r="J57" s="11"/>
      <c r="K57" s="7"/>
      <c r="L57" s="9"/>
      <c r="M57" s="8"/>
      <c r="N57" s="12" t="s">
        <v>23</v>
      </c>
      <c r="O57" s="12" t="s">
        <v>24</v>
      </c>
      <c r="P57" s="6" t="s">
        <v>19</v>
      </c>
      <c r="Q57" s="13"/>
      <c r="R57" s="14"/>
    </row>
    <row r="58" spans="1:18" ht="21" customHeight="1" x14ac:dyDescent="0.2">
      <c r="A58" s="6" t="s">
        <v>17</v>
      </c>
      <c r="B58" s="7" t="s">
        <v>18</v>
      </c>
      <c r="C58" s="6" t="s">
        <v>19</v>
      </c>
      <c r="D58" s="6" t="s">
        <v>133</v>
      </c>
      <c r="E58" s="6" t="s">
        <v>134</v>
      </c>
      <c r="F58" s="8">
        <v>1</v>
      </c>
      <c r="G58" s="9">
        <v>634.90000000000009</v>
      </c>
      <c r="H58" s="8">
        <v>634.90000000000009</v>
      </c>
      <c r="I58" s="10"/>
      <c r="J58" s="11"/>
      <c r="K58" s="7"/>
      <c r="L58" s="9"/>
      <c r="M58" s="8"/>
      <c r="N58" s="12" t="s">
        <v>23</v>
      </c>
      <c r="O58" s="12" t="s">
        <v>24</v>
      </c>
      <c r="P58" s="6" t="s">
        <v>19</v>
      </c>
      <c r="Q58" s="13"/>
      <c r="R58" s="14"/>
    </row>
    <row r="59" spans="1:18" ht="21" customHeight="1" x14ac:dyDescent="0.2">
      <c r="A59" s="6" t="s">
        <v>17</v>
      </c>
      <c r="B59" s="7" t="s">
        <v>18</v>
      </c>
      <c r="C59" s="6" t="s">
        <v>19</v>
      </c>
      <c r="D59" s="6" t="s">
        <v>135</v>
      </c>
      <c r="E59" s="6" t="s">
        <v>136</v>
      </c>
      <c r="F59" s="8">
        <v>4</v>
      </c>
      <c r="G59" s="9">
        <v>2000</v>
      </c>
      <c r="H59" s="8">
        <v>500</v>
      </c>
      <c r="I59" s="10">
        <v>1</v>
      </c>
      <c r="J59" s="11">
        <v>1</v>
      </c>
      <c r="K59" s="7">
        <v>1</v>
      </c>
      <c r="L59" s="9"/>
      <c r="M59" s="8"/>
      <c r="N59" s="12" t="s">
        <v>23</v>
      </c>
      <c r="O59" s="12" t="s">
        <v>24</v>
      </c>
      <c r="P59" s="6" t="s">
        <v>19</v>
      </c>
      <c r="Q59" s="13"/>
      <c r="R59" s="14"/>
    </row>
    <row r="60" spans="1:18" ht="21" customHeight="1" x14ac:dyDescent="0.2">
      <c r="A60" s="6" t="s">
        <v>17</v>
      </c>
      <c r="B60" s="7" t="s">
        <v>18</v>
      </c>
      <c r="C60" s="6" t="s">
        <v>19</v>
      </c>
      <c r="D60" s="6" t="s">
        <v>137</v>
      </c>
      <c r="E60" s="6" t="s">
        <v>138</v>
      </c>
      <c r="F60" s="8">
        <v>7</v>
      </c>
      <c r="G60" s="9">
        <v>2850</v>
      </c>
      <c r="H60" s="8">
        <v>407.14285714285717</v>
      </c>
      <c r="I60" s="10"/>
      <c r="J60" s="11"/>
      <c r="K60" s="7"/>
      <c r="L60" s="9"/>
      <c r="M60" s="8"/>
      <c r="N60" s="12" t="s">
        <v>23</v>
      </c>
      <c r="O60" s="12" t="s">
        <v>24</v>
      </c>
      <c r="P60" s="6" t="s">
        <v>19</v>
      </c>
      <c r="Q60" s="13"/>
      <c r="R60" s="14"/>
    </row>
    <row r="61" spans="1:18" ht="21" customHeight="1" x14ac:dyDescent="0.2">
      <c r="A61" s="6" t="s">
        <v>17</v>
      </c>
      <c r="B61" s="7" t="s">
        <v>18</v>
      </c>
      <c r="C61" s="6" t="s">
        <v>19</v>
      </c>
      <c r="D61" s="6" t="s">
        <v>139</v>
      </c>
      <c r="E61" s="6" t="s">
        <v>140</v>
      </c>
      <c r="F61" s="8">
        <v>5</v>
      </c>
      <c r="G61" s="9">
        <v>793</v>
      </c>
      <c r="H61" s="8">
        <v>158.6</v>
      </c>
      <c r="I61" s="10"/>
      <c r="J61" s="11"/>
      <c r="K61" s="7"/>
      <c r="L61" s="9"/>
      <c r="M61" s="8"/>
      <c r="N61" s="12" t="s">
        <v>23</v>
      </c>
      <c r="O61" s="12" t="s">
        <v>24</v>
      </c>
      <c r="P61" s="6" t="s">
        <v>19</v>
      </c>
      <c r="Q61" s="13"/>
      <c r="R61" s="14"/>
    </row>
    <row r="62" spans="1:18" ht="21" customHeight="1" x14ac:dyDescent="0.2">
      <c r="A62" s="6" t="s">
        <v>17</v>
      </c>
      <c r="B62" s="7" t="s">
        <v>18</v>
      </c>
      <c r="C62" s="6" t="s">
        <v>19</v>
      </c>
      <c r="D62" s="6" t="s">
        <v>141</v>
      </c>
      <c r="E62" s="6" t="s">
        <v>142</v>
      </c>
      <c r="F62" s="8">
        <v>3</v>
      </c>
      <c r="G62" s="9">
        <v>3</v>
      </c>
      <c r="H62" s="8">
        <v>1</v>
      </c>
      <c r="I62" s="10"/>
      <c r="J62" s="11"/>
      <c r="K62" s="7"/>
      <c r="L62" s="9"/>
      <c r="M62" s="8"/>
      <c r="N62" s="12" t="s">
        <v>23</v>
      </c>
      <c r="O62" s="12" t="s">
        <v>24</v>
      </c>
      <c r="P62" s="6" t="s">
        <v>19</v>
      </c>
      <c r="Q62" s="13"/>
      <c r="R62" s="14"/>
    </row>
    <row r="63" spans="1:18" ht="21" customHeight="1" x14ac:dyDescent="0.2">
      <c r="A63" s="6" t="s">
        <v>17</v>
      </c>
      <c r="B63" s="7" t="s">
        <v>18</v>
      </c>
      <c r="C63" s="6" t="s">
        <v>19</v>
      </c>
      <c r="D63" s="6" t="s">
        <v>143</v>
      </c>
      <c r="E63" s="6" t="s">
        <v>144</v>
      </c>
      <c r="F63" s="8">
        <v>2</v>
      </c>
      <c r="G63" s="9"/>
      <c r="H63" s="8"/>
      <c r="I63" s="10"/>
      <c r="J63" s="11"/>
      <c r="K63" s="7"/>
      <c r="L63" s="9"/>
      <c r="M63" s="8"/>
      <c r="N63" s="12" t="s">
        <v>23</v>
      </c>
      <c r="O63" s="12" t="s">
        <v>24</v>
      </c>
      <c r="P63" s="6" t="s">
        <v>19</v>
      </c>
      <c r="Q63" s="13"/>
      <c r="R63" s="14"/>
    </row>
    <row r="64" spans="1:18" ht="21" customHeight="1" x14ac:dyDescent="0.2">
      <c r="A64" s="6" t="s">
        <v>17</v>
      </c>
      <c r="B64" s="7" t="s">
        <v>18</v>
      </c>
      <c r="C64" s="6" t="s">
        <v>19</v>
      </c>
      <c r="D64" s="6" t="s">
        <v>145</v>
      </c>
      <c r="E64" s="6" t="s">
        <v>146</v>
      </c>
      <c r="F64" s="8">
        <v>2</v>
      </c>
      <c r="G64" s="9"/>
      <c r="H64" s="8"/>
      <c r="I64" s="10"/>
      <c r="J64" s="11"/>
      <c r="K64" s="7"/>
      <c r="L64" s="9"/>
      <c r="M64" s="8"/>
      <c r="N64" s="12" t="s">
        <v>23</v>
      </c>
      <c r="O64" s="12" t="s">
        <v>24</v>
      </c>
      <c r="P64" s="6" t="s">
        <v>19</v>
      </c>
      <c r="Q64" s="13"/>
      <c r="R64" s="14"/>
    </row>
    <row r="65" spans="1:18" ht="21" customHeight="1" x14ac:dyDescent="0.2">
      <c r="A65" s="6" t="s">
        <v>17</v>
      </c>
      <c r="B65" s="7" t="s">
        <v>18</v>
      </c>
      <c r="C65" s="6" t="s">
        <v>19</v>
      </c>
      <c r="D65" s="6" t="s">
        <v>147</v>
      </c>
      <c r="E65" s="6" t="s">
        <v>148</v>
      </c>
      <c r="F65" s="8">
        <v>1</v>
      </c>
      <c r="G65" s="9"/>
      <c r="H65" s="8"/>
      <c r="I65" s="10"/>
      <c r="J65" s="11"/>
      <c r="K65" s="7"/>
      <c r="L65" s="9"/>
      <c r="M65" s="8"/>
      <c r="N65" s="12" t="s">
        <v>23</v>
      </c>
      <c r="O65" s="12" t="s">
        <v>24</v>
      </c>
      <c r="P65" s="6" t="s">
        <v>19</v>
      </c>
      <c r="Q65" s="13"/>
      <c r="R65" s="14"/>
    </row>
    <row r="66" spans="1:18" ht="21" customHeight="1" x14ac:dyDescent="0.2">
      <c r="A66" s="6" t="s">
        <v>17</v>
      </c>
      <c r="B66" s="7" t="s">
        <v>18</v>
      </c>
      <c r="C66" s="6" t="s">
        <v>19</v>
      </c>
      <c r="D66" s="6" t="s">
        <v>149</v>
      </c>
      <c r="E66" s="6" t="s">
        <v>150</v>
      </c>
      <c r="F66" s="8">
        <v>4</v>
      </c>
      <c r="G66" s="9"/>
      <c r="H66" s="8"/>
      <c r="I66" s="10"/>
      <c r="J66" s="11"/>
      <c r="K66" s="7"/>
      <c r="L66" s="9"/>
      <c r="M66" s="8"/>
      <c r="N66" s="12" t="s">
        <v>23</v>
      </c>
      <c r="O66" s="12" t="s">
        <v>24</v>
      </c>
      <c r="P66" s="6" t="s">
        <v>19</v>
      </c>
      <c r="Q66" s="13"/>
      <c r="R66" s="14"/>
    </row>
    <row r="67" spans="1:18" ht="21" customHeight="1" x14ac:dyDescent="0.2">
      <c r="A67" s="6" t="s">
        <v>17</v>
      </c>
      <c r="B67" s="7" t="s">
        <v>18</v>
      </c>
      <c r="C67" s="6" t="s">
        <v>19</v>
      </c>
      <c r="D67" s="6" t="s">
        <v>151</v>
      </c>
      <c r="E67" s="6" t="s">
        <v>152</v>
      </c>
      <c r="F67" s="8">
        <v>1</v>
      </c>
      <c r="G67" s="9"/>
      <c r="H67" s="8"/>
      <c r="I67" s="10"/>
      <c r="J67" s="11"/>
      <c r="K67" s="7"/>
      <c r="L67" s="9"/>
      <c r="M67" s="8"/>
      <c r="N67" s="12" t="s">
        <v>23</v>
      </c>
      <c r="O67" s="12" t="s">
        <v>24</v>
      </c>
      <c r="P67" s="6" t="s">
        <v>19</v>
      </c>
      <c r="Q67" s="13"/>
      <c r="R67" s="14"/>
    </row>
    <row r="68" spans="1:18" ht="21" customHeight="1" x14ac:dyDescent="0.2">
      <c r="A68" s="6" t="s">
        <v>17</v>
      </c>
      <c r="B68" s="7" t="s">
        <v>18</v>
      </c>
      <c r="C68" s="6" t="s">
        <v>19</v>
      </c>
      <c r="D68" s="6" t="s">
        <v>153</v>
      </c>
      <c r="E68" s="6" t="s">
        <v>154</v>
      </c>
      <c r="F68" s="8">
        <v>3</v>
      </c>
      <c r="G68" s="9"/>
      <c r="H68" s="8"/>
      <c r="I68" s="10"/>
      <c r="J68" s="11"/>
      <c r="K68" s="7"/>
      <c r="L68" s="9"/>
      <c r="M68" s="8"/>
      <c r="N68" s="12" t="s">
        <v>23</v>
      </c>
      <c r="O68" s="12" t="s">
        <v>24</v>
      </c>
      <c r="P68" s="6" t="s">
        <v>19</v>
      </c>
      <c r="Q68" s="13"/>
      <c r="R68" s="14"/>
    </row>
    <row r="69" spans="1:18" ht="21" customHeight="1" x14ac:dyDescent="0.2">
      <c r="A69" s="6" t="s">
        <v>17</v>
      </c>
      <c r="B69" s="7" t="s">
        <v>18</v>
      </c>
      <c r="C69" s="6" t="s">
        <v>19</v>
      </c>
      <c r="D69" s="6" t="s">
        <v>155</v>
      </c>
      <c r="E69" s="6" t="s">
        <v>156</v>
      </c>
      <c r="F69" s="8">
        <v>3</v>
      </c>
      <c r="G69" s="9"/>
      <c r="H69" s="8"/>
      <c r="I69" s="10"/>
      <c r="J69" s="11"/>
      <c r="K69" s="7"/>
      <c r="L69" s="9"/>
      <c r="M69" s="8"/>
      <c r="N69" s="12" t="s">
        <v>23</v>
      </c>
      <c r="O69" s="12" t="s">
        <v>24</v>
      </c>
      <c r="P69" s="6" t="s">
        <v>19</v>
      </c>
      <c r="Q69" s="13"/>
      <c r="R69" s="14"/>
    </row>
    <row r="70" spans="1:18" ht="21" customHeight="1" x14ac:dyDescent="0.2">
      <c r="A70" s="6" t="s">
        <v>17</v>
      </c>
      <c r="B70" s="7" t="s">
        <v>18</v>
      </c>
      <c r="C70" s="6" t="s">
        <v>19</v>
      </c>
      <c r="D70" s="6" t="s">
        <v>157</v>
      </c>
      <c r="E70" s="6" t="s">
        <v>158</v>
      </c>
      <c r="F70" s="8">
        <v>2</v>
      </c>
      <c r="G70" s="9"/>
      <c r="H70" s="8"/>
      <c r="I70" s="10"/>
      <c r="J70" s="11"/>
      <c r="K70" s="7"/>
      <c r="L70" s="9"/>
      <c r="M70" s="8"/>
      <c r="N70" s="12" t="s">
        <v>23</v>
      </c>
      <c r="O70" s="12" t="s">
        <v>24</v>
      </c>
      <c r="P70" s="6" t="s">
        <v>19</v>
      </c>
      <c r="Q70" s="13"/>
      <c r="R70" s="14"/>
    </row>
    <row r="71" spans="1:18" ht="21" customHeight="1" x14ac:dyDescent="0.2">
      <c r="A71" s="6" t="s">
        <v>17</v>
      </c>
      <c r="B71" s="7" t="s">
        <v>18</v>
      </c>
      <c r="C71" s="6" t="s">
        <v>19</v>
      </c>
      <c r="D71" s="6" t="s">
        <v>159</v>
      </c>
      <c r="E71" s="6" t="s">
        <v>160</v>
      </c>
      <c r="F71" s="8">
        <v>1</v>
      </c>
      <c r="G71" s="9"/>
      <c r="H71" s="8"/>
      <c r="I71" s="10"/>
      <c r="J71" s="11"/>
      <c r="K71" s="7"/>
      <c r="L71" s="9"/>
      <c r="M71" s="8"/>
      <c r="N71" s="12" t="s">
        <v>23</v>
      </c>
      <c r="O71" s="12" t="s">
        <v>24</v>
      </c>
      <c r="P71" s="6" t="s">
        <v>19</v>
      </c>
      <c r="Q71" s="13"/>
      <c r="R71" s="14"/>
    </row>
    <row r="72" spans="1:18" ht="21" customHeight="1" x14ac:dyDescent="0.2">
      <c r="A72" s="6" t="s">
        <v>17</v>
      </c>
      <c r="B72" s="7" t="s">
        <v>18</v>
      </c>
      <c r="C72" s="6" t="s">
        <v>19</v>
      </c>
      <c r="D72" s="6" t="s">
        <v>161</v>
      </c>
      <c r="E72" s="6" t="s">
        <v>162</v>
      </c>
      <c r="F72" s="8">
        <v>1</v>
      </c>
      <c r="G72" s="9"/>
      <c r="H72" s="8"/>
      <c r="I72" s="10"/>
      <c r="J72" s="11"/>
      <c r="K72" s="7"/>
      <c r="L72" s="9"/>
      <c r="M72" s="8"/>
      <c r="N72" s="12" t="s">
        <v>23</v>
      </c>
      <c r="O72" s="12" t="s">
        <v>24</v>
      </c>
      <c r="P72" s="6" t="s">
        <v>19</v>
      </c>
      <c r="Q72" s="13"/>
      <c r="R72" s="14"/>
    </row>
    <row r="73" spans="1:18" ht="21" customHeight="1" x14ac:dyDescent="0.2">
      <c r="A73" s="6" t="s">
        <v>17</v>
      </c>
      <c r="B73" s="7" t="s">
        <v>18</v>
      </c>
      <c r="C73" s="6" t="s">
        <v>19</v>
      </c>
      <c r="D73" s="6" t="s">
        <v>163</v>
      </c>
      <c r="E73" s="6" t="s">
        <v>164</v>
      </c>
      <c r="F73" s="8">
        <v>1</v>
      </c>
      <c r="G73" s="9"/>
      <c r="H73" s="8"/>
      <c r="I73" s="10"/>
      <c r="J73" s="11"/>
      <c r="K73" s="7"/>
      <c r="L73" s="9"/>
      <c r="M73" s="8"/>
      <c r="N73" s="12" t="s">
        <v>23</v>
      </c>
      <c r="O73" s="12" t="s">
        <v>24</v>
      </c>
      <c r="P73" s="6" t="s">
        <v>19</v>
      </c>
      <c r="Q73" s="13"/>
      <c r="R73" s="14"/>
    </row>
    <row r="74" spans="1:18" ht="21" customHeight="1" x14ac:dyDescent="0.2">
      <c r="A74" s="6" t="s">
        <v>17</v>
      </c>
      <c r="B74" s="7" t="s">
        <v>18</v>
      </c>
      <c r="C74" s="6" t="s">
        <v>19</v>
      </c>
      <c r="D74" s="6" t="s">
        <v>165</v>
      </c>
      <c r="E74" s="6" t="s">
        <v>166</v>
      </c>
      <c r="F74" s="8">
        <v>1</v>
      </c>
      <c r="G74" s="9"/>
      <c r="H74" s="8"/>
      <c r="I74" s="10"/>
      <c r="J74" s="11"/>
      <c r="K74" s="7"/>
      <c r="L74" s="9"/>
      <c r="M74" s="8"/>
      <c r="N74" s="12" t="s">
        <v>23</v>
      </c>
      <c r="O74" s="12" t="s">
        <v>24</v>
      </c>
      <c r="P74" s="6" t="s">
        <v>19</v>
      </c>
      <c r="Q74" s="13"/>
      <c r="R74" s="14"/>
    </row>
    <row r="75" spans="1:18" ht="21" customHeight="1" x14ac:dyDescent="0.2">
      <c r="A75" s="6" t="s">
        <v>17</v>
      </c>
      <c r="B75" s="7" t="s">
        <v>18</v>
      </c>
      <c r="C75" s="6" t="s">
        <v>19</v>
      </c>
      <c r="D75" s="6" t="s">
        <v>167</v>
      </c>
      <c r="E75" s="6" t="s">
        <v>168</v>
      </c>
      <c r="F75" s="8">
        <v>5</v>
      </c>
      <c r="G75" s="9"/>
      <c r="H75" s="8"/>
      <c r="I75" s="10"/>
      <c r="J75" s="11"/>
      <c r="K75" s="7"/>
      <c r="L75" s="9"/>
      <c r="M75" s="8"/>
      <c r="N75" s="12" t="s">
        <v>23</v>
      </c>
      <c r="O75" s="12" t="s">
        <v>24</v>
      </c>
      <c r="P75" s="6" t="s">
        <v>19</v>
      </c>
      <c r="Q75" s="13"/>
      <c r="R75" s="14"/>
    </row>
    <row r="76" spans="1:18" ht="21" customHeight="1" x14ac:dyDescent="0.2">
      <c r="A76" s="6" t="s">
        <v>17</v>
      </c>
      <c r="B76" s="7" t="s">
        <v>18</v>
      </c>
      <c r="C76" s="6" t="s">
        <v>19</v>
      </c>
      <c r="D76" s="6" t="s">
        <v>169</v>
      </c>
      <c r="E76" s="6" t="s">
        <v>170</v>
      </c>
      <c r="F76" s="8">
        <v>4</v>
      </c>
      <c r="G76" s="9"/>
      <c r="H76" s="8"/>
      <c r="I76" s="10"/>
      <c r="J76" s="11"/>
      <c r="K76" s="7"/>
      <c r="L76" s="9"/>
      <c r="M76" s="8"/>
      <c r="N76" s="12" t="s">
        <v>23</v>
      </c>
      <c r="O76" s="12" t="s">
        <v>24</v>
      </c>
      <c r="P76" s="6" t="s">
        <v>19</v>
      </c>
      <c r="Q76" s="13"/>
      <c r="R76" s="14"/>
    </row>
    <row r="77" spans="1:18" ht="21" customHeight="1" x14ac:dyDescent="0.2">
      <c r="A77" s="6" t="s">
        <v>17</v>
      </c>
      <c r="B77" s="7" t="s">
        <v>18</v>
      </c>
      <c r="C77" s="6" t="s">
        <v>19</v>
      </c>
      <c r="D77" s="6" t="s">
        <v>171</v>
      </c>
      <c r="E77" s="6" t="s">
        <v>172</v>
      </c>
      <c r="F77" s="8">
        <v>3</v>
      </c>
      <c r="G77" s="9"/>
      <c r="H77" s="8"/>
      <c r="I77" s="10"/>
      <c r="J77" s="11"/>
      <c r="K77" s="7"/>
      <c r="L77" s="9"/>
      <c r="M77" s="8"/>
      <c r="N77" s="12" t="s">
        <v>23</v>
      </c>
      <c r="O77" s="12" t="s">
        <v>24</v>
      </c>
      <c r="P77" s="6" t="s">
        <v>19</v>
      </c>
      <c r="Q77" s="13"/>
      <c r="R77" s="14"/>
    </row>
    <row r="78" spans="1:18" ht="21" customHeight="1" x14ac:dyDescent="0.2">
      <c r="A78" s="6" t="s">
        <v>17</v>
      </c>
      <c r="B78" s="7" t="s">
        <v>18</v>
      </c>
      <c r="C78" s="6" t="s">
        <v>19</v>
      </c>
      <c r="D78" s="6" t="s">
        <v>173</v>
      </c>
      <c r="E78" s="6" t="s">
        <v>174</v>
      </c>
      <c r="F78" s="8">
        <v>3</v>
      </c>
      <c r="G78" s="9"/>
      <c r="H78" s="8"/>
      <c r="I78" s="10"/>
      <c r="J78" s="11"/>
      <c r="K78" s="7"/>
      <c r="L78" s="9"/>
      <c r="M78" s="8"/>
      <c r="N78" s="12" t="s">
        <v>23</v>
      </c>
      <c r="O78" s="12" t="s">
        <v>24</v>
      </c>
      <c r="P78" s="6" t="s">
        <v>19</v>
      </c>
      <c r="Q78" s="13"/>
      <c r="R78" s="14"/>
    </row>
    <row r="79" spans="1:18" ht="21" customHeight="1" x14ac:dyDescent="0.2">
      <c r="A79" s="6" t="s">
        <v>17</v>
      </c>
      <c r="B79" s="7" t="s">
        <v>18</v>
      </c>
      <c r="C79" s="6" t="s">
        <v>19</v>
      </c>
      <c r="D79" s="6" t="s">
        <v>175</v>
      </c>
      <c r="E79" s="6" t="s">
        <v>176</v>
      </c>
      <c r="F79" s="8">
        <v>2</v>
      </c>
      <c r="G79" s="9"/>
      <c r="H79" s="8"/>
      <c r="I79" s="10"/>
      <c r="J79" s="11"/>
      <c r="K79" s="7"/>
      <c r="L79" s="9"/>
      <c r="M79" s="8"/>
      <c r="N79" s="12" t="s">
        <v>23</v>
      </c>
      <c r="O79" s="12" t="s">
        <v>24</v>
      </c>
      <c r="P79" s="6" t="s">
        <v>19</v>
      </c>
      <c r="Q79" s="13"/>
      <c r="R79" s="14"/>
    </row>
    <row r="80" spans="1:18" ht="21" customHeight="1" x14ac:dyDescent="0.2">
      <c r="A80" s="6" t="s">
        <v>17</v>
      </c>
      <c r="B80" s="7" t="s">
        <v>18</v>
      </c>
      <c r="C80" s="6" t="s">
        <v>19</v>
      </c>
      <c r="D80" s="6" t="s">
        <v>177</v>
      </c>
      <c r="E80" s="6" t="s">
        <v>178</v>
      </c>
      <c r="F80" s="8">
        <v>3</v>
      </c>
      <c r="G80" s="9"/>
      <c r="H80" s="8"/>
      <c r="I80" s="10"/>
      <c r="J80" s="11"/>
      <c r="K80" s="7"/>
      <c r="L80" s="9"/>
      <c r="M80" s="8"/>
      <c r="N80" s="12" t="s">
        <v>23</v>
      </c>
      <c r="O80" s="12" t="s">
        <v>24</v>
      </c>
      <c r="P80" s="6" t="s">
        <v>19</v>
      </c>
      <c r="Q80" s="13"/>
      <c r="R80" s="14"/>
    </row>
    <row r="81" spans="1:18" ht="21" customHeight="1" x14ac:dyDescent="0.2">
      <c r="A81" s="6" t="s">
        <v>17</v>
      </c>
      <c r="B81" s="7" t="s">
        <v>18</v>
      </c>
      <c r="C81" s="6" t="s">
        <v>19</v>
      </c>
      <c r="D81" s="6" t="s">
        <v>97</v>
      </c>
      <c r="E81" s="6" t="s">
        <v>98</v>
      </c>
      <c r="F81" s="8">
        <v>1</v>
      </c>
      <c r="G81" s="9">
        <v>57669</v>
      </c>
      <c r="H81" s="8">
        <v>57669</v>
      </c>
      <c r="I81" s="10"/>
      <c r="J81" s="11"/>
      <c r="K81" s="7"/>
      <c r="L81" s="9"/>
      <c r="M81" s="8"/>
      <c r="N81" s="12" t="s">
        <v>179</v>
      </c>
      <c r="O81" s="12" t="s">
        <v>24</v>
      </c>
      <c r="P81" s="6" t="s">
        <v>19</v>
      </c>
      <c r="Q81" s="13"/>
      <c r="R81" s="14"/>
    </row>
    <row r="82" spans="1:18" ht="21" customHeight="1" x14ac:dyDescent="0.2">
      <c r="A82" s="6" t="s">
        <v>17</v>
      </c>
      <c r="B82" s="7" t="s">
        <v>18</v>
      </c>
      <c r="C82" s="6" t="s">
        <v>19</v>
      </c>
      <c r="D82" s="6" t="s">
        <v>115</v>
      </c>
      <c r="E82" s="6" t="s">
        <v>116</v>
      </c>
      <c r="F82" s="8">
        <v>1</v>
      </c>
      <c r="G82" s="9">
        <v>55800</v>
      </c>
      <c r="H82" s="8">
        <v>55800</v>
      </c>
      <c r="I82" s="10"/>
      <c r="J82" s="11"/>
      <c r="K82" s="7"/>
      <c r="L82" s="9"/>
      <c r="M82" s="8"/>
      <c r="N82" s="12" t="s">
        <v>179</v>
      </c>
      <c r="O82" s="12" t="s">
        <v>24</v>
      </c>
      <c r="P82" s="6" t="s">
        <v>19</v>
      </c>
      <c r="Q82" s="13"/>
      <c r="R82" s="14"/>
    </row>
    <row r="83" spans="1:18" ht="21" customHeight="1" x14ac:dyDescent="0.2">
      <c r="A83" s="6" t="s">
        <v>17</v>
      </c>
      <c r="B83" s="7" t="s">
        <v>18</v>
      </c>
      <c r="C83" s="6" t="s">
        <v>19</v>
      </c>
      <c r="D83" s="6" t="s">
        <v>180</v>
      </c>
      <c r="E83" s="6" t="s">
        <v>181</v>
      </c>
      <c r="F83" s="8">
        <v>1</v>
      </c>
      <c r="G83" s="9">
        <v>32870</v>
      </c>
      <c r="H83" s="8">
        <v>32870</v>
      </c>
      <c r="I83" s="10"/>
      <c r="J83" s="11"/>
      <c r="K83" s="7"/>
      <c r="L83" s="9"/>
      <c r="M83" s="8"/>
      <c r="N83" s="12" t="s">
        <v>179</v>
      </c>
      <c r="O83" s="12" t="s">
        <v>24</v>
      </c>
      <c r="P83" s="6" t="s">
        <v>19</v>
      </c>
      <c r="Q83" s="13"/>
      <c r="R83" s="14"/>
    </row>
    <row r="84" spans="1:18" ht="21" customHeight="1" x14ac:dyDescent="0.2">
      <c r="A84" s="6" t="s">
        <v>17</v>
      </c>
      <c r="B84" s="7" t="s">
        <v>18</v>
      </c>
      <c r="C84" s="6" t="s">
        <v>19</v>
      </c>
      <c r="D84" s="6" t="s">
        <v>111</v>
      </c>
      <c r="E84" s="6" t="s">
        <v>112</v>
      </c>
      <c r="F84" s="8">
        <v>1</v>
      </c>
      <c r="G84" s="9">
        <v>29300</v>
      </c>
      <c r="H84" s="8">
        <v>29300</v>
      </c>
      <c r="I84" s="10"/>
      <c r="J84" s="11"/>
      <c r="K84" s="7"/>
      <c r="L84" s="9"/>
      <c r="M84" s="8"/>
      <c r="N84" s="12" t="s">
        <v>179</v>
      </c>
      <c r="O84" s="12" t="s">
        <v>24</v>
      </c>
      <c r="P84" s="6" t="s">
        <v>19</v>
      </c>
      <c r="Q84" s="13"/>
      <c r="R84" s="14"/>
    </row>
    <row r="85" spans="1:18" ht="21" customHeight="1" x14ac:dyDescent="0.2">
      <c r="A85" s="6" t="s">
        <v>17</v>
      </c>
      <c r="B85" s="7" t="s">
        <v>18</v>
      </c>
      <c r="C85" s="6" t="s">
        <v>19</v>
      </c>
      <c r="D85" s="6" t="s">
        <v>83</v>
      </c>
      <c r="E85" s="6" t="s">
        <v>84</v>
      </c>
      <c r="F85" s="8">
        <v>5</v>
      </c>
      <c r="G85" s="9">
        <v>145006.5</v>
      </c>
      <c r="H85" s="8">
        <v>29001.3</v>
      </c>
      <c r="I85" s="10"/>
      <c r="J85" s="11"/>
      <c r="K85" s="7"/>
      <c r="L85" s="9"/>
      <c r="M85" s="8"/>
      <c r="N85" s="12" t="s">
        <v>179</v>
      </c>
      <c r="O85" s="12" t="s">
        <v>24</v>
      </c>
      <c r="P85" s="6" t="s">
        <v>19</v>
      </c>
      <c r="Q85" s="13"/>
      <c r="R85" s="14"/>
    </row>
    <row r="86" spans="1:18" ht="21" customHeight="1" x14ac:dyDescent="0.2">
      <c r="A86" s="6" t="s">
        <v>17</v>
      </c>
      <c r="B86" s="7" t="s">
        <v>18</v>
      </c>
      <c r="C86" s="6" t="s">
        <v>19</v>
      </c>
      <c r="D86" s="6" t="s">
        <v>41</v>
      </c>
      <c r="E86" s="6" t="s">
        <v>182</v>
      </c>
      <c r="F86" s="8">
        <v>1</v>
      </c>
      <c r="G86" s="9">
        <v>19800</v>
      </c>
      <c r="H86" s="8">
        <v>19800</v>
      </c>
      <c r="I86" s="10"/>
      <c r="J86" s="11"/>
      <c r="K86" s="7"/>
      <c r="L86" s="9"/>
      <c r="M86" s="8"/>
      <c r="N86" s="12" t="s">
        <v>179</v>
      </c>
      <c r="O86" s="12" t="s">
        <v>24</v>
      </c>
      <c r="P86" s="6" t="s">
        <v>19</v>
      </c>
      <c r="Q86" s="13"/>
      <c r="R86" s="14"/>
    </row>
    <row r="87" spans="1:18" ht="21" customHeight="1" x14ac:dyDescent="0.2">
      <c r="A87" s="6" t="s">
        <v>17</v>
      </c>
      <c r="B87" s="7" t="s">
        <v>18</v>
      </c>
      <c r="C87" s="6" t="s">
        <v>19</v>
      </c>
      <c r="D87" s="6" t="s">
        <v>183</v>
      </c>
      <c r="E87" s="6" t="s">
        <v>184</v>
      </c>
      <c r="F87" s="8">
        <v>1</v>
      </c>
      <c r="G87" s="9">
        <v>16554.400000000001</v>
      </c>
      <c r="H87" s="8">
        <v>16554.400000000001</v>
      </c>
      <c r="I87" s="10"/>
      <c r="J87" s="11"/>
      <c r="K87" s="7"/>
      <c r="L87" s="9"/>
      <c r="M87" s="8"/>
      <c r="N87" s="12" t="s">
        <v>179</v>
      </c>
      <c r="O87" s="12" t="s">
        <v>24</v>
      </c>
      <c r="P87" s="6" t="s">
        <v>19</v>
      </c>
      <c r="Q87" s="13"/>
      <c r="R87" s="14"/>
    </row>
    <row r="88" spans="1:18" ht="21" customHeight="1" x14ac:dyDescent="0.2">
      <c r="A88" s="6" t="s">
        <v>17</v>
      </c>
      <c r="B88" s="7" t="s">
        <v>18</v>
      </c>
      <c r="C88" s="6" t="s">
        <v>19</v>
      </c>
      <c r="D88" s="6" t="s">
        <v>37</v>
      </c>
      <c r="E88" s="6" t="s">
        <v>38</v>
      </c>
      <c r="F88" s="8">
        <v>1</v>
      </c>
      <c r="G88" s="9">
        <v>10950</v>
      </c>
      <c r="H88" s="8">
        <v>10950</v>
      </c>
      <c r="I88" s="10"/>
      <c r="J88" s="11"/>
      <c r="K88" s="7"/>
      <c r="L88" s="9"/>
      <c r="M88" s="8"/>
      <c r="N88" s="12" t="s">
        <v>179</v>
      </c>
      <c r="O88" s="12" t="s">
        <v>24</v>
      </c>
      <c r="P88" s="6" t="s">
        <v>19</v>
      </c>
      <c r="Q88" s="13"/>
      <c r="R88" s="14"/>
    </row>
    <row r="89" spans="1:18" ht="21" customHeight="1" x14ac:dyDescent="0.2">
      <c r="A89" s="6" t="s">
        <v>17</v>
      </c>
      <c r="B89" s="7" t="s">
        <v>18</v>
      </c>
      <c r="C89" s="6" t="s">
        <v>19</v>
      </c>
      <c r="D89" s="6" t="s">
        <v>77</v>
      </c>
      <c r="E89" s="6" t="s">
        <v>78</v>
      </c>
      <c r="F89" s="8">
        <v>10</v>
      </c>
      <c r="G89" s="9">
        <v>64422</v>
      </c>
      <c r="H89" s="8">
        <v>6442.2</v>
      </c>
      <c r="I89" s="10"/>
      <c r="J89" s="11"/>
      <c r="K89" s="7"/>
      <c r="L89" s="9"/>
      <c r="M89" s="8"/>
      <c r="N89" s="12" t="s">
        <v>179</v>
      </c>
      <c r="O89" s="12" t="s">
        <v>24</v>
      </c>
      <c r="P89" s="6" t="s">
        <v>19</v>
      </c>
      <c r="Q89" s="13"/>
      <c r="R89" s="14"/>
    </row>
    <row r="90" spans="1:18" ht="21" customHeight="1" x14ac:dyDescent="0.2">
      <c r="A90" s="6" t="s">
        <v>17</v>
      </c>
      <c r="B90" s="7" t="s">
        <v>18</v>
      </c>
      <c r="C90" s="6" t="s">
        <v>19</v>
      </c>
      <c r="D90" s="6" t="s">
        <v>185</v>
      </c>
      <c r="E90" s="6" t="s">
        <v>186</v>
      </c>
      <c r="F90" s="8">
        <v>1</v>
      </c>
      <c r="G90" s="9">
        <v>4350</v>
      </c>
      <c r="H90" s="8">
        <v>4350</v>
      </c>
      <c r="I90" s="10"/>
      <c r="J90" s="11"/>
      <c r="K90" s="7"/>
      <c r="L90" s="9"/>
      <c r="M90" s="8"/>
      <c r="N90" s="12" t="s">
        <v>179</v>
      </c>
      <c r="O90" s="12" t="s">
        <v>24</v>
      </c>
      <c r="P90" s="6" t="s">
        <v>19</v>
      </c>
      <c r="Q90" s="13"/>
      <c r="R90" s="14"/>
    </row>
    <row r="91" spans="1:18" ht="21" customHeight="1" x14ac:dyDescent="0.2">
      <c r="A91" s="6" t="s">
        <v>17</v>
      </c>
      <c r="B91" s="7" t="s">
        <v>18</v>
      </c>
      <c r="C91" s="6" t="s">
        <v>19</v>
      </c>
      <c r="D91" s="6" t="s">
        <v>43</v>
      </c>
      <c r="E91" s="6" t="s">
        <v>44</v>
      </c>
      <c r="F91" s="8">
        <v>1</v>
      </c>
      <c r="G91" s="9">
        <v>3000</v>
      </c>
      <c r="H91" s="8">
        <v>3000</v>
      </c>
      <c r="I91" s="10"/>
      <c r="J91" s="11"/>
      <c r="K91" s="7"/>
      <c r="L91" s="9"/>
      <c r="M91" s="8"/>
      <c r="N91" s="12" t="s">
        <v>179</v>
      </c>
      <c r="O91" s="12" t="s">
        <v>24</v>
      </c>
      <c r="P91" s="6" t="s">
        <v>19</v>
      </c>
      <c r="Q91" s="13"/>
      <c r="R91" s="14"/>
    </row>
    <row r="92" spans="1:18" ht="21" customHeight="1" x14ac:dyDescent="0.2">
      <c r="A92" s="6" t="s">
        <v>17</v>
      </c>
      <c r="B92" s="7" t="s">
        <v>18</v>
      </c>
      <c r="C92" s="6" t="s">
        <v>19</v>
      </c>
      <c r="D92" s="6" t="s">
        <v>147</v>
      </c>
      <c r="E92" s="6" t="s">
        <v>148</v>
      </c>
      <c r="F92" s="8">
        <v>2</v>
      </c>
      <c r="G92" s="9">
        <v>4500</v>
      </c>
      <c r="H92" s="8">
        <v>2250</v>
      </c>
      <c r="I92" s="10"/>
      <c r="J92" s="11"/>
      <c r="K92" s="7"/>
      <c r="L92" s="9"/>
      <c r="M92" s="8"/>
      <c r="N92" s="12" t="s">
        <v>179</v>
      </c>
      <c r="O92" s="12" t="s">
        <v>24</v>
      </c>
      <c r="P92" s="6" t="s">
        <v>19</v>
      </c>
      <c r="Q92" s="13"/>
      <c r="R92" s="14"/>
    </row>
    <row r="93" spans="1:18" ht="21" customHeight="1" x14ac:dyDescent="0.2">
      <c r="A93" s="6" t="s">
        <v>17</v>
      </c>
      <c r="B93" s="7" t="s">
        <v>18</v>
      </c>
      <c r="C93" s="6" t="s">
        <v>19</v>
      </c>
      <c r="D93" s="6" t="s">
        <v>187</v>
      </c>
      <c r="E93" s="6" t="s">
        <v>188</v>
      </c>
      <c r="F93" s="8">
        <v>1</v>
      </c>
      <c r="G93" s="9">
        <v>1899</v>
      </c>
      <c r="H93" s="8">
        <v>1899</v>
      </c>
      <c r="I93" s="10"/>
      <c r="J93" s="11"/>
      <c r="K93" s="7"/>
      <c r="L93" s="9"/>
      <c r="M93" s="8"/>
      <c r="N93" s="12" t="s">
        <v>179</v>
      </c>
      <c r="O93" s="12" t="s">
        <v>24</v>
      </c>
      <c r="P93" s="6" t="s">
        <v>19</v>
      </c>
      <c r="Q93" s="13"/>
      <c r="R93" s="14"/>
    </row>
    <row r="94" spans="1:18" ht="21" customHeight="1" x14ac:dyDescent="0.2">
      <c r="A94" s="6" t="s">
        <v>17</v>
      </c>
      <c r="B94" s="7" t="s">
        <v>18</v>
      </c>
      <c r="C94" s="6" t="s">
        <v>19</v>
      </c>
      <c r="D94" s="6" t="s">
        <v>93</v>
      </c>
      <c r="E94" s="6" t="s">
        <v>94</v>
      </c>
      <c r="F94" s="8">
        <v>3</v>
      </c>
      <c r="G94" s="9">
        <v>5000</v>
      </c>
      <c r="H94" s="8">
        <v>1666.6666666666667</v>
      </c>
      <c r="I94" s="10"/>
      <c r="J94" s="11"/>
      <c r="K94" s="7"/>
      <c r="L94" s="9"/>
      <c r="M94" s="8"/>
      <c r="N94" s="12" t="s">
        <v>179</v>
      </c>
      <c r="O94" s="12" t="s">
        <v>24</v>
      </c>
      <c r="P94" s="6" t="s">
        <v>19</v>
      </c>
      <c r="Q94" s="13"/>
      <c r="R94" s="14"/>
    </row>
    <row r="95" spans="1:18" ht="21" customHeight="1" x14ac:dyDescent="0.2">
      <c r="A95" s="6" t="s">
        <v>17</v>
      </c>
      <c r="B95" s="7" t="s">
        <v>18</v>
      </c>
      <c r="C95" s="6" t="s">
        <v>19</v>
      </c>
      <c r="D95" s="6" t="s">
        <v>95</v>
      </c>
      <c r="E95" s="6" t="s">
        <v>96</v>
      </c>
      <c r="F95" s="8">
        <v>9</v>
      </c>
      <c r="G95" s="9">
        <v>14095</v>
      </c>
      <c r="H95" s="8">
        <v>1566.1111111111111</v>
      </c>
      <c r="I95" s="10"/>
      <c r="J95" s="11"/>
      <c r="K95" s="7"/>
      <c r="L95" s="9"/>
      <c r="M95" s="8"/>
      <c r="N95" s="12" t="s">
        <v>179</v>
      </c>
      <c r="O95" s="12" t="s">
        <v>24</v>
      </c>
      <c r="P95" s="6" t="s">
        <v>19</v>
      </c>
      <c r="Q95" s="13"/>
      <c r="R95" s="14"/>
    </row>
    <row r="96" spans="1:18" ht="21" customHeight="1" x14ac:dyDescent="0.2">
      <c r="A96" s="6" t="s">
        <v>17</v>
      </c>
      <c r="B96" s="7" t="s">
        <v>18</v>
      </c>
      <c r="C96" s="6" t="s">
        <v>19</v>
      </c>
      <c r="D96" s="6" t="s">
        <v>105</v>
      </c>
      <c r="E96" s="6" t="s">
        <v>106</v>
      </c>
      <c r="F96" s="8">
        <v>7</v>
      </c>
      <c r="G96" s="9">
        <v>10100</v>
      </c>
      <c r="H96" s="8">
        <v>1442.8571428571429</v>
      </c>
      <c r="I96" s="10"/>
      <c r="J96" s="11"/>
      <c r="K96" s="7"/>
      <c r="L96" s="9"/>
      <c r="M96" s="8"/>
      <c r="N96" s="12" t="s">
        <v>179</v>
      </c>
      <c r="O96" s="12" t="s">
        <v>24</v>
      </c>
      <c r="P96" s="6" t="s">
        <v>19</v>
      </c>
      <c r="Q96" s="13"/>
      <c r="R96" s="14"/>
    </row>
    <row r="97" spans="1:18" ht="21" customHeight="1" x14ac:dyDescent="0.2">
      <c r="A97" s="6" t="s">
        <v>17</v>
      </c>
      <c r="B97" s="7" t="s">
        <v>18</v>
      </c>
      <c r="C97" s="6" t="s">
        <v>19</v>
      </c>
      <c r="D97" s="6" t="s">
        <v>65</v>
      </c>
      <c r="E97" s="6" t="s">
        <v>66</v>
      </c>
      <c r="F97" s="8">
        <v>7</v>
      </c>
      <c r="G97" s="9">
        <v>9107</v>
      </c>
      <c r="H97" s="8">
        <v>1301</v>
      </c>
      <c r="I97" s="10"/>
      <c r="J97" s="11"/>
      <c r="K97" s="7"/>
      <c r="L97" s="9"/>
      <c r="M97" s="8"/>
      <c r="N97" s="12" t="s">
        <v>179</v>
      </c>
      <c r="O97" s="12" t="s">
        <v>24</v>
      </c>
      <c r="P97" s="6" t="s">
        <v>19</v>
      </c>
      <c r="Q97" s="13"/>
      <c r="R97" s="14"/>
    </row>
    <row r="98" spans="1:18" ht="21" customHeight="1" x14ac:dyDescent="0.2">
      <c r="A98" s="6" t="s">
        <v>17</v>
      </c>
      <c r="B98" s="7" t="s">
        <v>18</v>
      </c>
      <c r="C98" s="6" t="s">
        <v>19</v>
      </c>
      <c r="D98" s="6" t="s">
        <v>73</v>
      </c>
      <c r="E98" s="6" t="s">
        <v>74</v>
      </c>
      <c r="F98" s="8">
        <v>2</v>
      </c>
      <c r="G98" s="9">
        <v>2200</v>
      </c>
      <c r="H98" s="8">
        <v>1100</v>
      </c>
      <c r="I98" s="10"/>
      <c r="J98" s="11"/>
      <c r="K98" s="7"/>
      <c r="L98" s="9"/>
      <c r="M98" s="8"/>
      <c r="N98" s="12" t="s">
        <v>179</v>
      </c>
      <c r="O98" s="12" t="s">
        <v>24</v>
      </c>
      <c r="P98" s="6" t="s">
        <v>19</v>
      </c>
      <c r="Q98" s="13"/>
      <c r="R98" s="14"/>
    </row>
    <row r="99" spans="1:18" ht="21" customHeight="1" x14ac:dyDescent="0.2">
      <c r="A99" s="6" t="s">
        <v>17</v>
      </c>
      <c r="B99" s="7" t="s">
        <v>18</v>
      </c>
      <c r="C99" s="6" t="s">
        <v>19</v>
      </c>
      <c r="D99" s="6" t="s">
        <v>51</v>
      </c>
      <c r="E99" s="6" t="s">
        <v>52</v>
      </c>
      <c r="F99" s="8">
        <v>2</v>
      </c>
      <c r="G99" s="9">
        <v>2000</v>
      </c>
      <c r="H99" s="8">
        <v>1000</v>
      </c>
      <c r="I99" s="10"/>
      <c r="J99" s="11"/>
      <c r="K99" s="7"/>
      <c r="L99" s="9"/>
      <c r="M99" s="8"/>
      <c r="N99" s="12" t="s">
        <v>179</v>
      </c>
      <c r="O99" s="12" t="s">
        <v>24</v>
      </c>
      <c r="P99" s="6" t="s">
        <v>19</v>
      </c>
      <c r="Q99" s="13"/>
      <c r="R99" s="14"/>
    </row>
    <row r="100" spans="1:18" ht="21" customHeight="1" x14ac:dyDescent="0.2">
      <c r="A100" s="6" t="s">
        <v>17</v>
      </c>
      <c r="B100" s="7" t="s">
        <v>18</v>
      </c>
      <c r="C100" s="6" t="s">
        <v>19</v>
      </c>
      <c r="D100" s="6" t="s">
        <v>79</v>
      </c>
      <c r="E100" s="6" t="s">
        <v>80</v>
      </c>
      <c r="F100" s="8">
        <v>2</v>
      </c>
      <c r="G100" s="9">
        <v>760</v>
      </c>
      <c r="H100" s="8">
        <v>380</v>
      </c>
      <c r="I100" s="10"/>
      <c r="J100" s="11"/>
      <c r="K100" s="7"/>
      <c r="L100" s="9"/>
      <c r="M100" s="8"/>
      <c r="N100" s="12" t="s">
        <v>179</v>
      </c>
      <c r="O100" s="12" t="s">
        <v>24</v>
      </c>
      <c r="P100" s="6" t="s">
        <v>19</v>
      </c>
      <c r="Q100" s="13"/>
      <c r="R100" s="14"/>
    </row>
    <row r="101" spans="1:18" ht="21" customHeight="1" x14ac:dyDescent="0.2">
      <c r="A101" s="6" t="s">
        <v>17</v>
      </c>
      <c r="B101" s="7" t="s">
        <v>18</v>
      </c>
      <c r="C101" s="6" t="s">
        <v>19</v>
      </c>
      <c r="D101" s="6" t="s">
        <v>33</v>
      </c>
      <c r="E101" s="6" t="s">
        <v>34</v>
      </c>
      <c r="F101" s="8">
        <v>1</v>
      </c>
      <c r="G101" s="9"/>
      <c r="H101" s="8"/>
      <c r="I101" s="10"/>
      <c r="J101" s="11"/>
      <c r="K101" s="7"/>
      <c r="L101" s="9"/>
      <c r="M101" s="8"/>
      <c r="N101" s="12" t="s">
        <v>179</v>
      </c>
      <c r="O101" s="12" t="s">
        <v>24</v>
      </c>
      <c r="P101" s="6" t="s">
        <v>19</v>
      </c>
      <c r="Q101" s="13"/>
      <c r="R101" s="14"/>
    </row>
    <row r="102" spans="1:18" ht="21" customHeight="1" x14ac:dyDescent="0.2">
      <c r="A102" s="6" t="s">
        <v>17</v>
      </c>
      <c r="B102" s="7" t="s">
        <v>18</v>
      </c>
      <c r="C102" s="6" t="s">
        <v>19</v>
      </c>
      <c r="D102" s="6" t="s">
        <v>133</v>
      </c>
      <c r="E102" s="6" t="s">
        <v>134</v>
      </c>
      <c r="F102" s="8">
        <v>1</v>
      </c>
      <c r="G102" s="9"/>
      <c r="H102" s="8"/>
      <c r="I102" s="10"/>
      <c r="J102" s="11"/>
      <c r="K102" s="7"/>
      <c r="L102" s="9"/>
      <c r="M102" s="8"/>
      <c r="N102" s="12" t="s">
        <v>179</v>
      </c>
      <c r="O102" s="12" t="s">
        <v>24</v>
      </c>
      <c r="P102" s="6" t="s">
        <v>19</v>
      </c>
      <c r="Q102" s="13"/>
      <c r="R102" s="14"/>
    </row>
    <row r="103" spans="1:18" ht="21" customHeight="1" x14ac:dyDescent="0.2">
      <c r="A103" s="6" t="s">
        <v>17</v>
      </c>
      <c r="B103" s="7" t="s">
        <v>18</v>
      </c>
      <c r="C103" s="6" t="s">
        <v>19</v>
      </c>
      <c r="D103" s="6" t="s">
        <v>87</v>
      </c>
      <c r="E103" s="6" t="s">
        <v>88</v>
      </c>
      <c r="F103" s="8">
        <v>6</v>
      </c>
      <c r="G103" s="9"/>
      <c r="H103" s="8"/>
      <c r="I103" s="10"/>
      <c r="J103" s="11"/>
      <c r="K103" s="7"/>
      <c r="L103" s="9"/>
      <c r="M103" s="8"/>
      <c r="N103" s="12" t="s">
        <v>179</v>
      </c>
      <c r="O103" s="12" t="s">
        <v>24</v>
      </c>
      <c r="P103" s="6" t="s">
        <v>19</v>
      </c>
      <c r="Q103" s="13"/>
      <c r="R103" s="14"/>
    </row>
    <row r="104" spans="1:18" ht="21" customHeight="1" x14ac:dyDescent="0.2">
      <c r="A104" s="6" t="s">
        <v>17</v>
      </c>
      <c r="B104" s="7" t="s">
        <v>18</v>
      </c>
      <c r="C104" s="6" t="s">
        <v>19</v>
      </c>
      <c r="D104" s="6" t="s">
        <v>189</v>
      </c>
      <c r="E104" s="6" t="s">
        <v>190</v>
      </c>
      <c r="F104" s="8">
        <v>2</v>
      </c>
      <c r="G104" s="9"/>
      <c r="H104" s="8"/>
      <c r="I104" s="10"/>
      <c r="J104" s="11"/>
      <c r="K104" s="7"/>
      <c r="L104" s="9"/>
      <c r="M104" s="8"/>
      <c r="N104" s="12" t="s">
        <v>179</v>
      </c>
      <c r="O104" s="12" t="s">
        <v>24</v>
      </c>
      <c r="P104" s="6" t="s">
        <v>19</v>
      </c>
      <c r="Q104" s="13"/>
      <c r="R104" s="14"/>
    </row>
    <row r="105" spans="1:18" ht="21" customHeight="1" x14ac:dyDescent="0.2">
      <c r="A105" s="6" t="s">
        <v>17</v>
      </c>
      <c r="B105" s="7" t="s">
        <v>18</v>
      </c>
      <c r="C105" s="6" t="s">
        <v>19</v>
      </c>
      <c r="D105" s="6" t="s">
        <v>191</v>
      </c>
      <c r="E105" s="6" t="s">
        <v>192</v>
      </c>
      <c r="F105" s="8">
        <v>1</v>
      </c>
      <c r="G105" s="9"/>
      <c r="H105" s="8"/>
      <c r="I105" s="10"/>
      <c r="J105" s="11"/>
      <c r="K105" s="7"/>
      <c r="L105" s="9"/>
      <c r="M105" s="8"/>
      <c r="N105" s="12" t="s">
        <v>179</v>
      </c>
      <c r="O105" s="12" t="s">
        <v>24</v>
      </c>
      <c r="P105" s="6" t="s">
        <v>19</v>
      </c>
      <c r="Q105" s="13"/>
      <c r="R105" s="14"/>
    </row>
    <row r="106" spans="1:18" ht="21" customHeight="1" x14ac:dyDescent="0.2">
      <c r="A106" s="6" t="s">
        <v>17</v>
      </c>
      <c r="B106" s="7" t="s">
        <v>18</v>
      </c>
      <c r="C106" s="6" t="s">
        <v>19</v>
      </c>
      <c r="D106" s="6" t="s">
        <v>67</v>
      </c>
      <c r="E106" s="6" t="s">
        <v>68</v>
      </c>
      <c r="F106" s="8">
        <v>8</v>
      </c>
      <c r="G106" s="9"/>
      <c r="H106" s="8"/>
      <c r="I106" s="10"/>
      <c r="J106" s="11"/>
      <c r="K106" s="7"/>
      <c r="L106" s="9"/>
      <c r="M106" s="8"/>
      <c r="N106" s="12" t="s">
        <v>179</v>
      </c>
      <c r="O106" s="12" t="s">
        <v>24</v>
      </c>
      <c r="P106" s="6" t="s">
        <v>19</v>
      </c>
      <c r="Q106" s="13"/>
      <c r="R106" s="14"/>
    </row>
    <row r="107" spans="1:18" ht="21" customHeight="1" x14ac:dyDescent="0.2">
      <c r="A107" s="6" t="s">
        <v>17</v>
      </c>
      <c r="B107" s="7" t="s">
        <v>18</v>
      </c>
      <c r="C107" s="6" t="s">
        <v>19</v>
      </c>
      <c r="D107" s="6" t="s">
        <v>171</v>
      </c>
      <c r="E107" s="6" t="s">
        <v>172</v>
      </c>
      <c r="F107" s="8">
        <v>2</v>
      </c>
      <c r="G107" s="9"/>
      <c r="H107" s="8"/>
      <c r="I107" s="10"/>
      <c r="J107" s="11"/>
      <c r="K107" s="7"/>
      <c r="L107" s="9"/>
      <c r="M107" s="8"/>
      <c r="N107" s="12" t="s">
        <v>179</v>
      </c>
      <c r="O107" s="12" t="s">
        <v>24</v>
      </c>
      <c r="P107" s="6" t="s">
        <v>19</v>
      </c>
      <c r="Q107" s="13"/>
      <c r="R107" s="14"/>
    </row>
    <row r="108" spans="1:18" ht="21" customHeight="1" x14ac:dyDescent="0.2">
      <c r="A108" s="6" t="s">
        <v>17</v>
      </c>
      <c r="B108" s="7" t="s">
        <v>18</v>
      </c>
      <c r="C108" s="6" t="s">
        <v>19</v>
      </c>
      <c r="D108" s="6" t="s">
        <v>107</v>
      </c>
      <c r="E108" s="6" t="s">
        <v>108</v>
      </c>
      <c r="F108" s="8">
        <v>2</v>
      </c>
      <c r="G108" s="9"/>
      <c r="H108" s="8"/>
      <c r="I108" s="10"/>
      <c r="J108" s="11"/>
      <c r="K108" s="7"/>
      <c r="L108" s="9"/>
      <c r="M108" s="8"/>
      <c r="N108" s="12" t="s">
        <v>179</v>
      </c>
      <c r="O108" s="12" t="s">
        <v>24</v>
      </c>
      <c r="P108" s="6" t="s">
        <v>19</v>
      </c>
      <c r="Q108" s="13"/>
      <c r="R108" s="14"/>
    </row>
    <row r="109" spans="1:18" ht="21" customHeight="1" x14ac:dyDescent="0.2">
      <c r="A109" s="6" t="s">
        <v>17</v>
      </c>
      <c r="B109" s="7" t="s">
        <v>18</v>
      </c>
      <c r="C109" s="6" t="s">
        <v>19</v>
      </c>
      <c r="D109" s="6" t="s">
        <v>109</v>
      </c>
      <c r="E109" s="6" t="s">
        <v>110</v>
      </c>
      <c r="F109" s="8">
        <v>1</v>
      </c>
      <c r="G109" s="9"/>
      <c r="H109" s="8"/>
      <c r="I109" s="10"/>
      <c r="J109" s="11"/>
      <c r="K109" s="7"/>
      <c r="L109" s="9"/>
      <c r="M109" s="8"/>
      <c r="N109" s="12" t="s">
        <v>179</v>
      </c>
      <c r="O109" s="12" t="s">
        <v>24</v>
      </c>
      <c r="P109" s="6" t="s">
        <v>19</v>
      </c>
      <c r="Q109" s="13"/>
      <c r="R109" s="14"/>
    </row>
    <row r="110" spans="1:18" ht="21" customHeight="1" x14ac:dyDescent="0.2">
      <c r="A110" s="6" t="s">
        <v>17</v>
      </c>
      <c r="B110" s="7" t="s">
        <v>18</v>
      </c>
      <c r="C110" s="6" t="s">
        <v>19</v>
      </c>
      <c r="D110" s="6" t="s">
        <v>89</v>
      </c>
      <c r="E110" s="6" t="s">
        <v>90</v>
      </c>
      <c r="F110" s="8">
        <v>1</v>
      </c>
      <c r="G110" s="9"/>
      <c r="H110" s="8"/>
      <c r="I110" s="10"/>
      <c r="J110" s="11"/>
      <c r="K110" s="7"/>
      <c r="L110" s="9"/>
      <c r="M110" s="8"/>
      <c r="N110" s="12" t="s">
        <v>179</v>
      </c>
      <c r="O110" s="12" t="s">
        <v>24</v>
      </c>
      <c r="P110" s="6" t="s">
        <v>19</v>
      </c>
      <c r="Q110" s="13"/>
      <c r="R110" s="14"/>
    </row>
    <row r="111" spans="1:18" ht="21" customHeight="1" x14ac:dyDescent="0.2">
      <c r="A111" s="6" t="s">
        <v>17</v>
      </c>
      <c r="B111" s="7" t="s">
        <v>18</v>
      </c>
      <c r="C111" s="6" t="s">
        <v>19</v>
      </c>
      <c r="D111" s="6" t="s">
        <v>193</v>
      </c>
      <c r="E111" s="6" t="s">
        <v>194</v>
      </c>
      <c r="F111" s="8">
        <v>1</v>
      </c>
      <c r="G111" s="9"/>
      <c r="H111" s="8"/>
      <c r="I111" s="10"/>
      <c r="J111" s="11"/>
      <c r="K111" s="7"/>
      <c r="L111" s="9"/>
      <c r="M111" s="8"/>
      <c r="N111" s="12" t="s">
        <v>179</v>
      </c>
      <c r="O111" s="12" t="s">
        <v>24</v>
      </c>
      <c r="P111" s="6" t="s">
        <v>19</v>
      </c>
      <c r="Q111" s="13"/>
      <c r="R111" s="14"/>
    </row>
    <row r="112" spans="1:18" ht="21" customHeight="1" x14ac:dyDescent="0.2">
      <c r="A112" s="6" t="s">
        <v>17</v>
      </c>
      <c r="B112" s="7" t="s">
        <v>18</v>
      </c>
      <c r="C112" s="6" t="s">
        <v>19</v>
      </c>
      <c r="D112" s="6" t="s">
        <v>29</v>
      </c>
      <c r="E112" s="6" t="s">
        <v>30</v>
      </c>
      <c r="F112" s="8">
        <v>1</v>
      </c>
      <c r="G112" s="9"/>
      <c r="H112" s="8"/>
      <c r="I112" s="10"/>
      <c r="J112" s="11"/>
      <c r="K112" s="7"/>
      <c r="L112" s="9"/>
      <c r="M112" s="8"/>
      <c r="N112" s="12" t="s">
        <v>179</v>
      </c>
      <c r="O112" s="12" t="s">
        <v>24</v>
      </c>
      <c r="P112" s="6" t="s">
        <v>19</v>
      </c>
      <c r="Q112" s="13"/>
      <c r="R112" s="14"/>
    </row>
    <row r="113" spans="1:18" ht="21" customHeight="1" x14ac:dyDescent="0.2">
      <c r="A113" s="6" t="s">
        <v>17</v>
      </c>
      <c r="B113" s="7" t="s">
        <v>18</v>
      </c>
      <c r="C113" s="6" t="s">
        <v>19</v>
      </c>
      <c r="D113" s="6" t="s">
        <v>195</v>
      </c>
      <c r="E113" s="6" t="s">
        <v>196</v>
      </c>
      <c r="F113" s="8">
        <v>1</v>
      </c>
      <c r="G113" s="9"/>
      <c r="H113" s="8"/>
      <c r="I113" s="10"/>
      <c r="J113" s="11"/>
      <c r="K113" s="7"/>
      <c r="L113" s="9"/>
      <c r="M113" s="8"/>
      <c r="N113" s="12" t="s">
        <v>179</v>
      </c>
      <c r="O113" s="12" t="s">
        <v>24</v>
      </c>
      <c r="P113" s="6" t="s">
        <v>19</v>
      </c>
      <c r="Q113" s="13"/>
      <c r="R113" s="14"/>
    </row>
    <row r="114" spans="1:18" ht="21" customHeight="1" x14ac:dyDescent="0.2">
      <c r="A114" s="6" t="s">
        <v>17</v>
      </c>
      <c r="B114" s="7" t="s">
        <v>18</v>
      </c>
      <c r="C114" s="6" t="s">
        <v>19</v>
      </c>
      <c r="D114" s="6" t="s">
        <v>197</v>
      </c>
      <c r="E114" s="6" t="s">
        <v>198</v>
      </c>
      <c r="F114" s="8">
        <v>1</v>
      </c>
      <c r="G114" s="9"/>
      <c r="H114" s="8"/>
      <c r="I114" s="10"/>
      <c r="J114" s="11"/>
      <c r="K114" s="7"/>
      <c r="L114" s="9"/>
      <c r="M114" s="8"/>
      <c r="N114" s="12" t="s">
        <v>179</v>
      </c>
      <c r="O114" s="12" t="s">
        <v>24</v>
      </c>
      <c r="P114" s="6" t="s">
        <v>19</v>
      </c>
      <c r="Q114" s="13"/>
      <c r="R114" s="14"/>
    </row>
    <row r="115" spans="1:18" ht="21" customHeight="1" x14ac:dyDescent="0.2">
      <c r="A115" s="6" t="s">
        <v>17</v>
      </c>
      <c r="B115" s="7" t="s">
        <v>18</v>
      </c>
      <c r="C115" s="6" t="s">
        <v>19</v>
      </c>
      <c r="D115" s="6" t="s">
        <v>129</v>
      </c>
      <c r="E115" s="6" t="s">
        <v>130</v>
      </c>
      <c r="F115" s="8">
        <v>1</v>
      </c>
      <c r="G115" s="9"/>
      <c r="H115" s="8"/>
      <c r="I115" s="10"/>
      <c r="J115" s="11"/>
      <c r="K115" s="7"/>
      <c r="L115" s="9"/>
      <c r="M115" s="8"/>
      <c r="N115" s="12" t="s">
        <v>179</v>
      </c>
      <c r="O115" s="12" t="s">
        <v>24</v>
      </c>
      <c r="P115" s="6" t="s">
        <v>19</v>
      </c>
      <c r="Q115" s="13"/>
      <c r="R115" s="14"/>
    </row>
  </sheetData>
  <mergeCells count="1">
    <mergeCell ref="A2:E2"/>
  </mergeCells>
  <phoneticPr fontId="3" type="noConversion"/>
  <conditionalFormatting sqref="L3:L115 G3:G115">
    <cfRule type="expression" dxfId="39" priority="5">
      <formula>G3&lt;10000</formula>
    </cfRule>
    <cfRule type="expression" dxfId="38" priority="6">
      <formula>G3&gt;99999999</formula>
    </cfRule>
    <cfRule type="expression" dxfId="37" priority="7">
      <formula>100000000&gt;G3&gt;9999</formula>
    </cfRule>
    <cfRule type="expression" dxfId="36" priority="8">
      <formula>G3&lt;10000</formula>
    </cfRule>
    <cfRule type="expression" dxfId="35" priority="9">
      <formula>G3&gt;99999999</formula>
    </cfRule>
    <cfRule type="expression" dxfId="34" priority="10">
      <formula>100000000&gt;G3&gt;9999</formula>
    </cfRule>
  </conditionalFormatting>
  <conditionalFormatting sqref="G2">
    <cfRule type="expression" dxfId="33" priority="3">
      <formula>G2&gt;99999999</formula>
    </cfRule>
    <cfRule type="expression" dxfId="32" priority="4">
      <formula>100000000&gt;G2&gt;9999</formula>
    </cfRule>
  </conditionalFormatting>
  <conditionalFormatting sqref="L2">
    <cfRule type="expression" dxfId="31" priority="1">
      <formula>L2&gt;99999999</formula>
    </cfRule>
    <cfRule type="expression" dxfId="30" priority="2">
      <formula>100000000&gt;L2&gt;9999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79D8-385F-445E-AE00-E6370685D29D}">
  <sheetPr codeName="Sheet2">
    <tabColor rgb="FFFF0000"/>
  </sheetPr>
  <dimension ref="A1:R119"/>
  <sheetViews>
    <sheetView workbookViewId="0">
      <pane xSplit="3" ySplit="2" topLeftCell="D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5.5" bestFit="1" customWidth="1"/>
    <col min="3" max="3" width="13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6.75" bestFit="1" customWidth="1"/>
    <col min="15" max="15" width="5.25" bestFit="1" customWidth="1"/>
    <col min="16" max="16" width="13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4</v>
      </c>
      <c r="E1" s="1" t="s">
        <v>5</v>
      </c>
      <c r="F1" s="3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23" t="s">
        <v>11</v>
      </c>
      <c r="L1" s="1" t="s">
        <v>12</v>
      </c>
      <c r="M1" s="4" t="s">
        <v>13</v>
      </c>
      <c r="N1" s="1" t="s">
        <v>14</v>
      </c>
      <c r="O1" s="23" t="s">
        <v>15</v>
      </c>
      <c r="P1" s="23" t="s">
        <v>16</v>
      </c>
      <c r="Q1" s="5"/>
      <c r="R1" s="5"/>
    </row>
    <row r="2" spans="1:18" s="22" customFormat="1" ht="24.95" customHeight="1" x14ac:dyDescent="0.2">
      <c r="A2" s="15" t="s">
        <v>199</v>
      </c>
      <c r="B2" s="16"/>
      <c r="C2" s="16"/>
      <c r="D2" s="16"/>
      <c r="E2" s="17"/>
      <c r="F2" s="18">
        <f>SUBTOTAL(9,F3:F1048576)</f>
        <v>3957</v>
      </c>
      <c r="G2" s="19">
        <f>SUBTOTAL(9,G3:G1048576)</f>
        <v>16293874.920000002</v>
      </c>
      <c r="H2" s="18">
        <f>G2/F2</f>
        <v>4117.7343745261569</v>
      </c>
      <c r="I2" s="18">
        <f t="shared" ref="I2:J2" si="0">SUBTOTAL(9,I3:I1048576)</f>
        <v>74</v>
      </c>
      <c r="J2" s="18">
        <f t="shared" si="0"/>
        <v>22</v>
      </c>
      <c r="K2" s="20">
        <f>IFERROR(J2/I2,)</f>
        <v>0.29729729729729731</v>
      </c>
      <c r="L2" s="19">
        <f>SUBTOTAL(9,L3:L1048576)</f>
        <v>185780.90999999997</v>
      </c>
      <c r="M2" s="18">
        <f>IFERROR(L2/I2,)</f>
        <v>2510.5528378378376</v>
      </c>
      <c r="N2" s="21"/>
      <c r="O2" s="21"/>
      <c r="P2" s="21"/>
    </row>
    <row r="3" spans="1:18" ht="21" customHeight="1" x14ac:dyDescent="0.2">
      <c r="A3" s="6" t="s">
        <v>17</v>
      </c>
      <c r="B3" s="24" t="s">
        <v>200</v>
      </c>
      <c r="C3" s="6" t="s">
        <v>19</v>
      </c>
      <c r="D3" s="6" t="s">
        <v>201</v>
      </c>
      <c r="E3" s="6" t="s">
        <v>202</v>
      </c>
      <c r="F3" s="8">
        <v>1</v>
      </c>
      <c r="G3" s="9">
        <v>119400</v>
      </c>
      <c r="H3" s="8">
        <v>119400</v>
      </c>
      <c r="I3" s="10"/>
      <c r="J3" s="11"/>
      <c r="K3" s="24"/>
      <c r="L3" s="9"/>
      <c r="M3" s="8"/>
      <c r="N3" s="12" t="s">
        <v>203</v>
      </c>
      <c r="O3" s="12" t="s">
        <v>24</v>
      </c>
      <c r="P3" s="6" t="s">
        <v>19</v>
      </c>
      <c r="Q3" s="13"/>
      <c r="R3" s="25"/>
    </row>
    <row r="4" spans="1:18" ht="21" customHeight="1" x14ac:dyDescent="0.2">
      <c r="A4" s="6" t="s">
        <v>17</v>
      </c>
      <c r="B4" s="24" t="s">
        <v>200</v>
      </c>
      <c r="C4" s="6" t="s">
        <v>19</v>
      </c>
      <c r="D4" s="6" t="s">
        <v>204</v>
      </c>
      <c r="E4" s="6" t="s">
        <v>205</v>
      </c>
      <c r="F4" s="8">
        <v>1</v>
      </c>
      <c r="G4" s="9">
        <v>27300</v>
      </c>
      <c r="H4" s="8">
        <v>27300</v>
      </c>
      <c r="I4" s="10"/>
      <c r="J4" s="11"/>
      <c r="K4" s="24"/>
      <c r="L4" s="9"/>
      <c r="M4" s="8"/>
      <c r="N4" s="12" t="s">
        <v>203</v>
      </c>
      <c r="O4" s="12" t="s">
        <v>24</v>
      </c>
      <c r="P4" s="6" t="s">
        <v>19</v>
      </c>
      <c r="Q4" s="13"/>
      <c r="R4" s="25"/>
    </row>
    <row r="5" spans="1:18" ht="21" customHeight="1" x14ac:dyDescent="0.2">
      <c r="A5" s="6" t="s">
        <v>17</v>
      </c>
      <c r="B5" s="24" t="s">
        <v>200</v>
      </c>
      <c r="C5" s="6" t="s">
        <v>19</v>
      </c>
      <c r="D5" s="6" t="s">
        <v>206</v>
      </c>
      <c r="E5" s="6" t="s">
        <v>207</v>
      </c>
      <c r="F5" s="8">
        <v>12</v>
      </c>
      <c r="G5" s="9">
        <v>195968.56</v>
      </c>
      <c r="H5" s="8">
        <v>16330.713333333333</v>
      </c>
      <c r="I5" s="10"/>
      <c r="J5" s="11"/>
      <c r="K5" s="24"/>
      <c r="L5" s="9"/>
      <c r="M5" s="8"/>
      <c r="N5" s="12" t="s">
        <v>203</v>
      </c>
      <c r="O5" s="12" t="s">
        <v>24</v>
      </c>
      <c r="P5" s="6" t="s">
        <v>19</v>
      </c>
      <c r="Q5" s="13"/>
      <c r="R5" s="25"/>
    </row>
    <row r="6" spans="1:18" ht="21" customHeight="1" x14ac:dyDescent="0.2">
      <c r="A6" s="6" t="s">
        <v>17</v>
      </c>
      <c r="B6" s="24" t="s">
        <v>200</v>
      </c>
      <c r="C6" s="6" t="s">
        <v>19</v>
      </c>
      <c r="D6" s="6" t="s">
        <v>208</v>
      </c>
      <c r="E6" s="6" t="s">
        <v>209</v>
      </c>
      <c r="F6" s="8">
        <v>1</v>
      </c>
      <c r="G6" s="9">
        <v>14334</v>
      </c>
      <c r="H6" s="8">
        <v>14334</v>
      </c>
      <c r="I6" s="10"/>
      <c r="J6" s="11"/>
      <c r="K6" s="24"/>
      <c r="L6" s="9"/>
      <c r="M6" s="8"/>
      <c r="N6" s="12" t="s">
        <v>203</v>
      </c>
      <c r="O6" s="12" t="s">
        <v>24</v>
      </c>
      <c r="P6" s="6" t="s">
        <v>19</v>
      </c>
      <c r="Q6" s="13"/>
      <c r="R6" s="25"/>
    </row>
    <row r="7" spans="1:18" ht="21" customHeight="1" x14ac:dyDescent="0.2">
      <c r="A7" s="6" t="s">
        <v>17</v>
      </c>
      <c r="B7" s="24" t="s">
        <v>200</v>
      </c>
      <c r="C7" s="6" t="s">
        <v>19</v>
      </c>
      <c r="D7" s="6" t="s">
        <v>175</v>
      </c>
      <c r="E7" s="6" t="s">
        <v>176</v>
      </c>
      <c r="F7" s="8">
        <v>1</v>
      </c>
      <c r="G7" s="9">
        <v>13500</v>
      </c>
      <c r="H7" s="8">
        <v>13500</v>
      </c>
      <c r="I7" s="10"/>
      <c r="J7" s="11"/>
      <c r="K7" s="24"/>
      <c r="L7" s="9"/>
      <c r="M7" s="8"/>
      <c r="N7" s="12" t="s">
        <v>203</v>
      </c>
      <c r="O7" s="12" t="s">
        <v>24</v>
      </c>
      <c r="P7" s="6" t="s">
        <v>19</v>
      </c>
      <c r="Q7" s="13"/>
      <c r="R7" s="25"/>
    </row>
    <row r="8" spans="1:18" ht="21" customHeight="1" x14ac:dyDescent="0.2">
      <c r="A8" s="6" t="s">
        <v>17</v>
      </c>
      <c r="B8" s="24" t="s">
        <v>200</v>
      </c>
      <c r="C8" s="6" t="s">
        <v>19</v>
      </c>
      <c r="D8" s="6" t="s">
        <v>71</v>
      </c>
      <c r="E8" s="6" t="s">
        <v>72</v>
      </c>
      <c r="F8" s="8">
        <v>60</v>
      </c>
      <c r="G8" s="9">
        <v>728000.05</v>
      </c>
      <c r="H8" s="8">
        <v>12133.334166666667</v>
      </c>
      <c r="I8" s="10">
        <v>2</v>
      </c>
      <c r="J8" s="11">
        <v>0</v>
      </c>
      <c r="K8" s="24">
        <v>0</v>
      </c>
      <c r="L8" s="9">
        <v>45846</v>
      </c>
      <c r="M8" s="8">
        <v>22923</v>
      </c>
      <c r="N8" s="12" t="s">
        <v>203</v>
      </c>
      <c r="O8" s="12" t="s">
        <v>24</v>
      </c>
      <c r="P8" s="6" t="s">
        <v>19</v>
      </c>
      <c r="Q8" s="13"/>
      <c r="R8" s="25"/>
    </row>
    <row r="9" spans="1:18" ht="21" customHeight="1" x14ac:dyDescent="0.2">
      <c r="A9" s="6" t="s">
        <v>17</v>
      </c>
      <c r="B9" s="24" t="s">
        <v>200</v>
      </c>
      <c r="C9" s="6" t="s">
        <v>19</v>
      </c>
      <c r="D9" s="6" t="s">
        <v>210</v>
      </c>
      <c r="E9" s="6" t="s">
        <v>211</v>
      </c>
      <c r="F9" s="8">
        <v>21</v>
      </c>
      <c r="G9" s="9">
        <v>227085.74</v>
      </c>
      <c r="H9" s="8">
        <v>10813.606666666667</v>
      </c>
      <c r="I9" s="10"/>
      <c r="J9" s="11"/>
      <c r="K9" s="24"/>
      <c r="L9" s="9"/>
      <c r="M9" s="8"/>
      <c r="N9" s="12" t="s">
        <v>203</v>
      </c>
      <c r="O9" s="12" t="s">
        <v>24</v>
      </c>
      <c r="P9" s="6" t="s">
        <v>19</v>
      </c>
      <c r="Q9" s="13"/>
      <c r="R9" s="25"/>
    </row>
    <row r="10" spans="1:18" ht="21" customHeight="1" x14ac:dyDescent="0.2">
      <c r="A10" s="6" t="s">
        <v>17</v>
      </c>
      <c r="B10" s="24" t="s">
        <v>200</v>
      </c>
      <c r="C10" s="6" t="s">
        <v>19</v>
      </c>
      <c r="D10" s="6" t="s">
        <v>69</v>
      </c>
      <c r="E10" s="6" t="s">
        <v>70</v>
      </c>
      <c r="F10" s="8">
        <v>42</v>
      </c>
      <c r="G10" s="9">
        <v>424987.97</v>
      </c>
      <c r="H10" s="8">
        <v>10118.761190476191</v>
      </c>
      <c r="I10" s="10">
        <v>1</v>
      </c>
      <c r="J10" s="11">
        <v>1</v>
      </c>
      <c r="K10" s="24">
        <v>1</v>
      </c>
      <c r="L10" s="9"/>
      <c r="M10" s="8"/>
      <c r="N10" s="12" t="s">
        <v>203</v>
      </c>
      <c r="O10" s="12" t="s">
        <v>24</v>
      </c>
      <c r="P10" s="6" t="s">
        <v>19</v>
      </c>
      <c r="Q10" s="13"/>
      <c r="R10" s="25"/>
    </row>
    <row r="11" spans="1:18" ht="21" customHeight="1" x14ac:dyDescent="0.2">
      <c r="A11" s="6" t="s">
        <v>17</v>
      </c>
      <c r="B11" s="24" t="s">
        <v>200</v>
      </c>
      <c r="C11" s="6" t="s">
        <v>19</v>
      </c>
      <c r="D11" s="6" t="s">
        <v>212</v>
      </c>
      <c r="E11" s="6" t="s">
        <v>213</v>
      </c>
      <c r="F11" s="8">
        <v>12</v>
      </c>
      <c r="G11" s="9">
        <v>120671</v>
      </c>
      <c r="H11" s="8">
        <v>10055.916666666666</v>
      </c>
      <c r="I11" s="10"/>
      <c r="J11" s="11"/>
      <c r="K11" s="24"/>
      <c r="L11" s="9"/>
      <c r="M11" s="8"/>
      <c r="N11" s="12" t="s">
        <v>203</v>
      </c>
      <c r="O11" s="12" t="s">
        <v>24</v>
      </c>
      <c r="P11" s="6" t="s">
        <v>19</v>
      </c>
      <c r="Q11" s="13"/>
      <c r="R11" s="25"/>
    </row>
    <row r="12" spans="1:18" ht="21" customHeight="1" x14ac:dyDescent="0.2">
      <c r="A12" s="6" t="s">
        <v>17</v>
      </c>
      <c r="B12" s="24" t="s">
        <v>200</v>
      </c>
      <c r="C12" s="6" t="s">
        <v>19</v>
      </c>
      <c r="D12" s="6" t="s">
        <v>214</v>
      </c>
      <c r="E12" s="6" t="s">
        <v>215</v>
      </c>
      <c r="F12" s="8">
        <v>3</v>
      </c>
      <c r="G12" s="9">
        <v>27549</v>
      </c>
      <c r="H12" s="8">
        <v>9183</v>
      </c>
      <c r="I12" s="10"/>
      <c r="J12" s="11"/>
      <c r="K12" s="24"/>
      <c r="L12" s="9"/>
      <c r="M12" s="8"/>
      <c r="N12" s="12" t="s">
        <v>203</v>
      </c>
      <c r="O12" s="12" t="s">
        <v>24</v>
      </c>
      <c r="P12" s="6" t="s">
        <v>19</v>
      </c>
      <c r="Q12" s="13"/>
      <c r="R12" s="25"/>
    </row>
    <row r="13" spans="1:18" ht="21" customHeight="1" x14ac:dyDescent="0.2">
      <c r="A13" s="6" t="s">
        <v>17</v>
      </c>
      <c r="B13" s="24" t="s">
        <v>200</v>
      </c>
      <c r="C13" s="6" t="s">
        <v>19</v>
      </c>
      <c r="D13" s="6" t="s">
        <v>139</v>
      </c>
      <c r="E13" s="6" t="s">
        <v>140</v>
      </c>
      <c r="F13" s="8">
        <v>86</v>
      </c>
      <c r="G13" s="9">
        <v>787844.14</v>
      </c>
      <c r="H13" s="8">
        <v>9160.9783720930227</v>
      </c>
      <c r="I13" s="10"/>
      <c r="J13" s="11"/>
      <c r="K13" s="24"/>
      <c r="L13" s="9"/>
      <c r="M13" s="8"/>
      <c r="N13" s="12" t="s">
        <v>203</v>
      </c>
      <c r="O13" s="12" t="s">
        <v>24</v>
      </c>
      <c r="P13" s="6" t="s">
        <v>19</v>
      </c>
      <c r="Q13" s="13"/>
      <c r="R13" s="25"/>
    </row>
    <row r="14" spans="1:18" ht="21" customHeight="1" x14ac:dyDescent="0.2">
      <c r="A14" s="6" t="s">
        <v>17</v>
      </c>
      <c r="B14" s="24" t="s">
        <v>200</v>
      </c>
      <c r="C14" s="6" t="s">
        <v>19</v>
      </c>
      <c r="D14" s="6" t="s">
        <v>127</v>
      </c>
      <c r="E14" s="6" t="s">
        <v>128</v>
      </c>
      <c r="F14" s="8">
        <v>15</v>
      </c>
      <c r="G14" s="9">
        <v>118133</v>
      </c>
      <c r="H14" s="8">
        <v>7875.5333333333338</v>
      </c>
      <c r="I14" s="10"/>
      <c r="J14" s="11"/>
      <c r="K14" s="24"/>
      <c r="L14" s="9"/>
      <c r="M14" s="8"/>
      <c r="N14" s="12" t="s">
        <v>203</v>
      </c>
      <c r="O14" s="12" t="s">
        <v>24</v>
      </c>
      <c r="P14" s="6" t="s">
        <v>19</v>
      </c>
      <c r="Q14" s="13"/>
      <c r="R14" s="25"/>
    </row>
    <row r="15" spans="1:18" ht="21" customHeight="1" x14ac:dyDescent="0.2">
      <c r="A15" s="6" t="s">
        <v>17</v>
      </c>
      <c r="B15" s="24" t="s">
        <v>200</v>
      </c>
      <c r="C15" s="6" t="s">
        <v>19</v>
      </c>
      <c r="D15" s="6" t="s">
        <v>21</v>
      </c>
      <c r="E15" s="6" t="s">
        <v>22</v>
      </c>
      <c r="F15" s="8">
        <v>61</v>
      </c>
      <c r="G15" s="9">
        <v>477284.33</v>
      </c>
      <c r="H15" s="8">
        <v>7824.3332786885248</v>
      </c>
      <c r="I15" s="10">
        <v>6</v>
      </c>
      <c r="J15" s="11">
        <v>3</v>
      </c>
      <c r="K15" s="24">
        <v>0.5</v>
      </c>
      <c r="L15" s="9">
        <v>900.01</v>
      </c>
      <c r="M15" s="8">
        <v>150.00166666666667</v>
      </c>
      <c r="N15" s="12" t="s">
        <v>203</v>
      </c>
      <c r="O15" s="12" t="s">
        <v>24</v>
      </c>
      <c r="P15" s="6" t="s">
        <v>19</v>
      </c>
      <c r="Q15" s="13"/>
      <c r="R15" s="25"/>
    </row>
    <row r="16" spans="1:18" ht="21" customHeight="1" x14ac:dyDescent="0.2">
      <c r="A16" s="6" t="s">
        <v>17</v>
      </c>
      <c r="B16" s="24" t="s">
        <v>200</v>
      </c>
      <c r="C16" s="6" t="s">
        <v>19</v>
      </c>
      <c r="D16" s="6" t="s">
        <v>27</v>
      </c>
      <c r="E16" s="6" t="s">
        <v>28</v>
      </c>
      <c r="F16" s="8">
        <v>63</v>
      </c>
      <c r="G16" s="9">
        <v>455482.96</v>
      </c>
      <c r="H16" s="8">
        <v>7229.8882539682545</v>
      </c>
      <c r="I16" s="10">
        <v>1</v>
      </c>
      <c r="J16" s="11">
        <v>0</v>
      </c>
      <c r="K16" s="24">
        <v>0</v>
      </c>
      <c r="L16" s="9">
        <v>4999</v>
      </c>
      <c r="M16" s="8">
        <v>4999</v>
      </c>
      <c r="N16" s="12" t="s">
        <v>203</v>
      </c>
      <c r="O16" s="12" t="s">
        <v>24</v>
      </c>
      <c r="P16" s="6" t="s">
        <v>19</v>
      </c>
      <c r="Q16" s="13"/>
      <c r="R16" s="25"/>
    </row>
    <row r="17" spans="1:18" ht="21" customHeight="1" x14ac:dyDescent="0.2">
      <c r="A17" s="6" t="s">
        <v>17</v>
      </c>
      <c r="B17" s="24" t="s">
        <v>200</v>
      </c>
      <c r="C17" s="6" t="s">
        <v>19</v>
      </c>
      <c r="D17" s="6" t="s">
        <v>111</v>
      </c>
      <c r="E17" s="6" t="s">
        <v>112</v>
      </c>
      <c r="F17" s="8">
        <v>11</v>
      </c>
      <c r="G17" s="9">
        <v>79379.08</v>
      </c>
      <c r="H17" s="8">
        <v>7216.28</v>
      </c>
      <c r="I17" s="10"/>
      <c r="J17" s="11"/>
      <c r="K17" s="24"/>
      <c r="L17" s="9"/>
      <c r="M17" s="8"/>
      <c r="N17" s="12" t="s">
        <v>203</v>
      </c>
      <c r="O17" s="12" t="s">
        <v>24</v>
      </c>
      <c r="P17" s="6" t="s">
        <v>19</v>
      </c>
      <c r="Q17" s="13"/>
      <c r="R17" s="25"/>
    </row>
    <row r="18" spans="1:18" ht="21" customHeight="1" x14ac:dyDescent="0.2">
      <c r="A18" s="6" t="s">
        <v>17</v>
      </c>
      <c r="B18" s="24" t="s">
        <v>200</v>
      </c>
      <c r="C18" s="6" t="s">
        <v>19</v>
      </c>
      <c r="D18" s="6" t="s">
        <v>216</v>
      </c>
      <c r="E18" s="6" t="s">
        <v>217</v>
      </c>
      <c r="F18" s="8">
        <v>9</v>
      </c>
      <c r="G18" s="9">
        <v>64506.99</v>
      </c>
      <c r="H18" s="8">
        <v>7167.4433333333327</v>
      </c>
      <c r="I18" s="10"/>
      <c r="J18" s="11"/>
      <c r="K18" s="24"/>
      <c r="L18" s="9"/>
      <c r="M18" s="8"/>
      <c r="N18" s="12" t="s">
        <v>203</v>
      </c>
      <c r="O18" s="12" t="s">
        <v>24</v>
      </c>
      <c r="P18" s="6" t="s">
        <v>19</v>
      </c>
      <c r="Q18" s="13"/>
      <c r="R18" s="25"/>
    </row>
    <row r="19" spans="1:18" ht="21" customHeight="1" x14ac:dyDescent="0.2">
      <c r="A19" s="6" t="s">
        <v>17</v>
      </c>
      <c r="B19" s="24" t="s">
        <v>200</v>
      </c>
      <c r="C19" s="6" t="s">
        <v>19</v>
      </c>
      <c r="D19" s="6" t="s">
        <v>55</v>
      </c>
      <c r="E19" s="6" t="s">
        <v>56</v>
      </c>
      <c r="F19" s="8">
        <v>54</v>
      </c>
      <c r="G19" s="9">
        <v>381210.94</v>
      </c>
      <c r="H19" s="8">
        <v>7059.4618518518519</v>
      </c>
      <c r="I19" s="10">
        <v>2</v>
      </c>
      <c r="J19" s="11">
        <v>0</v>
      </c>
      <c r="K19" s="24">
        <v>0</v>
      </c>
      <c r="L19" s="9">
        <v>1313.1</v>
      </c>
      <c r="M19" s="8">
        <v>656.55</v>
      </c>
      <c r="N19" s="12" t="s">
        <v>203</v>
      </c>
      <c r="O19" s="12" t="s">
        <v>24</v>
      </c>
      <c r="P19" s="6" t="s">
        <v>19</v>
      </c>
      <c r="Q19" s="13"/>
      <c r="R19" s="25"/>
    </row>
    <row r="20" spans="1:18" ht="21" customHeight="1" x14ac:dyDescent="0.2">
      <c r="A20" s="6" t="s">
        <v>17</v>
      </c>
      <c r="B20" s="24" t="s">
        <v>200</v>
      </c>
      <c r="C20" s="6" t="s">
        <v>19</v>
      </c>
      <c r="D20" s="6" t="s">
        <v>39</v>
      </c>
      <c r="E20" s="6" t="s">
        <v>40</v>
      </c>
      <c r="F20" s="8">
        <v>23</v>
      </c>
      <c r="G20" s="9">
        <v>153525.88</v>
      </c>
      <c r="H20" s="8">
        <v>6675.0382608695654</v>
      </c>
      <c r="I20" s="10">
        <v>1</v>
      </c>
      <c r="J20" s="11">
        <v>0</v>
      </c>
      <c r="K20" s="24">
        <v>0</v>
      </c>
      <c r="L20" s="9">
        <v>100</v>
      </c>
      <c r="M20" s="8">
        <v>100</v>
      </c>
      <c r="N20" s="12" t="s">
        <v>203</v>
      </c>
      <c r="O20" s="12" t="s">
        <v>24</v>
      </c>
      <c r="P20" s="6" t="s">
        <v>19</v>
      </c>
      <c r="Q20" s="13"/>
      <c r="R20" s="25"/>
    </row>
    <row r="21" spans="1:18" ht="21" customHeight="1" x14ac:dyDescent="0.2">
      <c r="A21" s="6" t="s">
        <v>17</v>
      </c>
      <c r="B21" s="24" t="s">
        <v>200</v>
      </c>
      <c r="C21" s="6" t="s">
        <v>19</v>
      </c>
      <c r="D21" s="6" t="s">
        <v>77</v>
      </c>
      <c r="E21" s="6" t="s">
        <v>78</v>
      </c>
      <c r="F21" s="8">
        <v>123</v>
      </c>
      <c r="G21" s="9">
        <v>800810.41</v>
      </c>
      <c r="H21" s="8">
        <v>6510.6537398373985</v>
      </c>
      <c r="I21" s="10">
        <v>5</v>
      </c>
      <c r="J21" s="11">
        <v>1</v>
      </c>
      <c r="K21" s="24">
        <v>0.2</v>
      </c>
      <c r="L21" s="9">
        <v>6120.01</v>
      </c>
      <c r="M21" s="8">
        <v>1224.002</v>
      </c>
      <c r="N21" s="12" t="s">
        <v>203</v>
      </c>
      <c r="O21" s="12" t="s">
        <v>24</v>
      </c>
      <c r="P21" s="6" t="s">
        <v>19</v>
      </c>
      <c r="Q21" s="13"/>
      <c r="R21" s="25"/>
    </row>
    <row r="22" spans="1:18" ht="21" customHeight="1" x14ac:dyDescent="0.2">
      <c r="A22" s="6" t="s">
        <v>17</v>
      </c>
      <c r="B22" s="24" t="s">
        <v>200</v>
      </c>
      <c r="C22" s="6" t="s">
        <v>19</v>
      </c>
      <c r="D22" s="6" t="s">
        <v>79</v>
      </c>
      <c r="E22" s="6" t="s">
        <v>80</v>
      </c>
      <c r="F22" s="8">
        <v>93</v>
      </c>
      <c r="G22" s="9">
        <v>600315.76</v>
      </c>
      <c r="H22" s="8">
        <v>6455.0081720430107</v>
      </c>
      <c r="I22" s="10">
        <v>2</v>
      </c>
      <c r="J22" s="11">
        <v>0</v>
      </c>
      <c r="K22" s="24">
        <v>0</v>
      </c>
      <c r="L22" s="9">
        <v>8461</v>
      </c>
      <c r="M22" s="8">
        <v>4230.5</v>
      </c>
      <c r="N22" s="12" t="s">
        <v>203</v>
      </c>
      <c r="O22" s="12" t="s">
        <v>24</v>
      </c>
      <c r="P22" s="6" t="s">
        <v>19</v>
      </c>
      <c r="Q22" s="13"/>
      <c r="R22" s="25"/>
    </row>
    <row r="23" spans="1:18" ht="21" customHeight="1" x14ac:dyDescent="0.2">
      <c r="A23" s="6" t="s">
        <v>17</v>
      </c>
      <c r="B23" s="24" t="s">
        <v>200</v>
      </c>
      <c r="C23" s="6" t="s">
        <v>19</v>
      </c>
      <c r="D23" s="6" t="s">
        <v>101</v>
      </c>
      <c r="E23" s="6" t="s">
        <v>102</v>
      </c>
      <c r="F23" s="8">
        <v>52</v>
      </c>
      <c r="G23" s="9">
        <v>330301.31</v>
      </c>
      <c r="H23" s="8">
        <v>6351.9482692307693</v>
      </c>
      <c r="I23" s="10"/>
      <c r="J23" s="11"/>
      <c r="K23" s="24"/>
      <c r="L23" s="9"/>
      <c r="M23" s="8"/>
      <c r="N23" s="12" t="s">
        <v>203</v>
      </c>
      <c r="O23" s="12" t="s">
        <v>24</v>
      </c>
      <c r="P23" s="6" t="s">
        <v>19</v>
      </c>
      <c r="Q23" s="13"/>
      <c r="R23" s="25"/>
    </row>
    <row r="24" spans="1:18" ht="21" customHeight="1" x14ac:dyDescent="0.2">
      <c r="A24" s="6" t="s">
        <v>17</v>
      </c>
      <c r="B24" s="24" t="s">
        <v>200</v>
      </c>
      <c r="C24" s="6" t="s">
        <v>19</v>
      </c>
      <c r="D24" s="6" t="s">
        <v>147</v>
      </c>
      <c r="E24" s="6" t="s">
        <v>148</v>
      </c>
      <c r="F24" s="8">
        <v>10</v>
      </c>
      <c r="G24" s="9">
        <v>60438</v>
      </c>
      <c r="H24" s="8">
        <v>6043.8</v>
      </c>
      <c r="I24" s="10"/>
      <c r="J24" s="11"/>
      <c r="K24" s="24"/>
      <c r="L24" s="9"/>
      <c r="M24" s="8"/>
      <c r="N24" s="12" t="s">
        <v>203</v>
      </c>
      <c r="O24" s="12" t="s">
        <v>24</v>
      </c>
      <c r="P24" s="6" t="s">
        <v>19</v>
      </c>
      <c r="Q24" s="13"/>
      <c r="R24" s="25"/>
    </row>
    <row r="25" spans="1:18" ht="21" customHeight="1" x14ac:dyDescent="0.2">
      <c r="A25" s="6" t="s">
        <v>17</v>
      </c>
      <c r="B25" s="24" t="s">
        <v>200</v>
      </c>
      <c r="C25" s="6" t="s">
        <v>19</v>
      </c>
      <c r="D25" s="6" t="s">
        <v>151</v>
      </c>
      <c r="E25" s="6" t="s">
        <v>152</v>
      </c>
      <c r="F25" s="8">
        <v>27</v>
      </c>
      <c r="G25" s="9">
        <v>160743.62</v>
      </c>
      <c r="H25" s="8">
        <v>5953.4674074074073</v>
      </c>
      <c r="I25" s="10"/>
      <c r="J25" s="11"/>
      <c r="K25" s="24"/>
      <c r="L25" s="9"/>
      <c r="M25" s="8"/>
      <c r="N25" s="12" t="s">
        <v>203</v>
      </c>
      <c r="O25" s="12" t="s">
        <v>24</v>
      </c>
      <c r="P25" s="6" t="s">
        <v>19</v>
      </c>
      <c r="Q25" s="13"/>
      <c r="R25" s="25"/>
    </row>
    <row r="26" spans="1:18" ht="21" customHeight="1" x14ac:dyDescent="0.2">
      <c r="A26" s="6" t="s">
        <v>17</v>
      </c>
      <c r="B26" s="24" t="s">
        <v>200</v>
      </c>
      <c r="C26" s="6" t="s">
        <v>19</v>
      </c>
      <c r="D26" s="6" t="s">
        <v>73</v>
      </c>
      <c r="E26" s="6" t="s">
        <v>74</v>
      </c>
      <c r="F26" s="8">
        <v>28</v>
      </c>
      <c r="G26" s="9">
        <v>163348</v>
      </c>
      <c r="H26" s="8">
        <v>5833.8571428571431</v>
      </c>
      <c r="I26" s="10">
        <v>1</v>
      </c>
      <c r="J26" s="11">
        <v>0</v>
      </c>
      <c r="K26" s="24">
        <v>0</v>
      </c>
      <c r="L26" s="9">
        <v>1000</v>
      </c>
      <c r="M26" s="8">
        <v>1000</v>
      </c>
      <c r="N26" s="12" t="s">
        <v>203</v>
      </c>
      <c r="O26" s="12" t="s">
        <v>24</v>
      </c>
      <c r="P26" s="6" t="s">
        <v>19</v>
      </c>
      <c r="Q26" s="13"/>
      <c r="R26" s="25"/>
    </row>
    <row r="27" spans="1:18" ht="21" customHeight="1" x14ac:dyDescent="0.2">
      <c r="A27" s="6" t="s">
        <v>17</v>
      </c>
      <c r="B27" s="24" t="s">
        <v>200</v>
      </c>
      <c r="C27" s="6" t="s">
        <v>19</v>
      </c>
      <c r="D27" s="6" t="s">
        <v>218</v>
      </c>
      <c r="E27" s="6" t="s">
        <v>219</v>
      </c>
      <c r="F27" s="8">
        <v>16</v>
      </c>
      <c r="G27" s="9">
        <v>90060</v>
      </c>
      <c r="H27" s="8">
        <v>5628.75</v>
      </c>
      <c r="I27" s="10">
        <v>2</v>
      </c>
      <c r="J27" s="11">
        <v>1</v>
      </c>
      <c r="K27" s="24">
        <v>0.5</v>
      </c>
      <c r="L27" s="9">
        <v>100</v>
      </c>
      <c r="M27" s="8">
        <v>50</v>
      </c>
      <c r="N27" s="12" t="s">
        <v>203</v>
      </c>
      <c r="O27" s="12" t="s">
        <v>24</v>
      </c>
      <c r="P27" s="6" t="s">
        <v>19</v>
      </c>
      <c r="Q27" s="13"/>
      <c r="R27" s="25"/>
    </row>
    <row r="28" spans="1:18" ht="21" customHeight="1" x14ac:dyDescent="0.2">
      <c r="A28" s="6" t="s">
        <v>17</v>
      </c>
      <c r="B28" s="24" t="s">
        <v>200</v>
      </c>
      <c r="C28" s="6" t="s">
        <v>19</v>
      </c>
      <c r="D28" s="6" t="s">
        <v>109</v>
      </c>
      <c r="E28" s="6" t="s">
        <v>110</v>
      </c>
      <c r="F28" s="8">
        <v>50</v>
      </c>
      <c r="G28" s="9">
        <v>276179.90000000002</v>
      </c>
      <c r="H28" s="8">
        <v>5523.5980000000009</v>
      </c>
      <c r="I28" s="10">
        <v>1</v>
      </c>
      <c r="J28" s="11">
        <v>1</v>
      </c>
      <c r="K28" s="24">
        <v>1</v>
      </c>
      <c r="L28" s="9"/>
      <c r="M28" s="8"/>
      <c r="N28" s="12" t="s">
        <v>203</v>
      </c>
      <c r="O28" s="12" t="s">
        <v>24</v>
      </c>
      <c r="P28" s="6" t="s">
        <v>19</v>
      </c>
      <c r="Q28" s="13"/>
      <c r="R28" s="25"/>
    </row>
    <row r="29" spans="1:18" ht="21" customHeight="1" x14ac:dyDescent="0.2">
      <c r="A29" s="6" t="s">
        <v>17</v>
      </c>
      <c r="B29" s="24" t="s">
        <v>200</v>
      </c>
      <c r="C29" s="6" t="s">
        <v>19</v>
      </c>
      <c r="D29" s="6" t="s">
        <v>220</v>
      </c>
      <c r="E29" s="6" t="s">
        <v>221</v>
      </c>
      <c r="F29" s="8">
        <v>13</v>
      </c>
      <c r="G29" s="9">
        <v>69320.56</v>
      </c>
      <c r="H29" s="8">
        <v>5332.3507692307694</v>
      </c>
      <c r="I29" s="10"/>
      <c r="J29" s="11"/>
      <c r="K29" s="24"/>
      <c r="L29" s="9"/>
      <c r="M29" s="8"/>
      <c r="N29" s="12" t="s">
        <v>203</v>
      </c>
      <c r="O29" s="12" t="s">
        <v>24</v>
      </c>
      <c r="P29" s="6" t="s">
        <v>19</v>
      </c>
      <c r="Q29" s="13"/>
      <c r="R29" s="25"/>
    </row>
    <row r="30" spans="1:18" ht="21" customHeight="1" x14ac:dyDescent="0.2">
      <c r="A30" s="6" t="s">
        <v>17</v>
      </c>
      <c r="B30" s="24" t="s">
        <v>200</v>
      </c>
      <c r="C30" s="6" t="s">
        <v>19</v>
      </c>
      <c r="D30" s="6" t="s">
        <v>131</v>
      </c>
      <c r="E30" s="6" t="s">
        <v>132</v>
      </c>
      <c r="F30" s="8">
        <v>58</v>
      </c>
      <c r="G30" s="9">
        <v>306312.04000000004</v>
      </c>
      <c r="H30" s="8">
        <v>5281.2420689655182</v>
      </c>
      <c r="I30" s="10">
        <v>2</v>
      </c>
      <c r="J30" s="11">
        <v>0</v>
      </c>
      <c r="K30" s="24">
        <v>0</v>
      </c>
      <c r="L30" s="9">
        <v>5530.01</v>
      </c>
      <c r="M30" s="8">
        <v>2765.0050000000001</v>
      </c>
      <c r="N30" s="12" t="s">
        <v>203</v>
      </c>
      <c r="O30" s="12" t="s">
        <v>24</v>
      </c>
      <c r="P30" s="6" t="s">
        <v>19</v>
      </c>
      <c r="Q30" s="13"/>
      <c r="R30" s="25"/>
    </row>
    <row r="31" spans="1:18" ht="21" customHeight="1" x14ac:dyDescent="0.2">
      <c r="A31" s="6" t="s">
        <v>17</v>
      </c>
      <c r="B31" s="24" t="s">
        <v>200</v>
      </c>
      <c r="C31" s="6" t="s">
        <v>19</v>
      </c>
      <c r="D31" s="6" t="s">
        <v>81</v>
      </c>
      <c r="E31" s="6" t="s">
        <v>82</v>
      </c>
      <c r="F31" s="8">
        <v>20</v>
      </c>
      <c r="G31" s="9">
        <v>104867</v>
      </c>
      <c r="H31" s="8">
        <v>5243.35</v>
      </c>
      <c r="I31" s="10"/>
      <c r="J31" s="11"/>
      <c r="K31" s="24"/>
      <c r="L31" s="9"/>
      <c r="M31" s="8"/>
      <c r="N31" s="12" t="s">
        <v>203</v>
      </c>
      <c r="O31" s="12" t="s">
        <v>24</v>
      </c>
      <c r="P31" s="6" t="s">
        <v>19</v>
      </c>
      <c r="Q31" s="13"/>
      <c r="R31" s="25"/>
    </row>
    <row r="32" spans="1:18" ht="21" customHeight="1" x14ac:dyDescent="0.2">
      <c r="A32" s="6" t="s">
        <v>17</v>
      </c>
      <c r="B32" s="24" t="s">
        <v>200</v>
      </c>
      <c r="C32" s="6" t="s">
        <v>19</v>
      </c>
      <c r="D32" s="6" t="s">
        <v>87</v>
      </c>
      <c r="E32" s="6" t="s">
        <v>88</v>
      </c>
      <c r="F32" s="8">
        <v>38</v>
      </c>
      <c r="G32" s="9">
        <v>193822.23</v>
      </c>
      <c r="H32" s="8">
        <v>5100.585</v>
      </c>
      <c r="I32" s="10">
        <v>3</v>
      </c>
      <c r="J32" s="11">
        <v>0</v>
      </c>
      <c r="K32" s="24">
        <v>0</v>
      </c>
      <c r="L32" s="9">
        <v>7947.01</v>
      </c>
      <c r="M32" s="8">
        <v>2649.0033333333336</v>
      </c>
      <c r="N32" s="12" t="s">
        <v>203</v>
      </c>
      <c r="O32" s="12" t="s">
        <v>24</v>
      </c>
      <c r="P32" s="6" t="s">
        <v>19</v>
      </c>
      <c r="Q32" s="13"/>
      <c r="R32" s="25"/>
    </row>
    <row r="33" spans="1:18" ht="21" customHeight="1" x14ac:dyDescent="0.2">
      <c r="A33" s="6" t="s">
        <v>17</v>
      </c>
      <c r="B33" s="24" t="s">
        <v>200</v>
      </c>
      <c r="C33" s="6" t="s">
        <v>19</v>
      </c>
      <c r="D33" s="6" t="s">
        <v>33</v>
      </c>
      <c r="E33" s="6" t="s">
        <v>34</v>
      </c>
      <c r="F33" s="8">
        <v>47</v>
      </c>
      <c r="G33" s="9">
        <v>237661.38</v>
      </c>
      <c r="H33" s="8">
        <v>5056.6251063829786</v>
      </c>
      <c r="I33" s="10"/>
      <c r="J33" s="11"/>
      <c r="K33" s="24"/>
      <c r="L33" s="9"/>
      <c r="M33" s="8"/>
      <c r="N33" s="12" t="s">
        <v>203</v>
      </c>
      <c r="O33" s="12" t="s">
        <v>24</v>
      </c>
      <c r="P33" s="6" t="s">
        <v>19</v>
      </c>
      <c r="Q33" s="13"/>
      <c r="R33" s="25"/>
    </row>
    <row r="34" spans="1:18" ht="21" customHeight="1" x14ac:dyDescent="0.2">
      <c r="A34" s="6" t="s">
        <v>17</v>
      </c>
      <c r="B34" s="24" t="s">
        <v>200</v>
      </c>
      <c r="C34" s="6" t="s">
        <v>19</v>
      </c>
      <c r="D34" s="6" t="s">
        <v>45</v>
      </c>
      <c r="E34" s="6" t="s">
        <v>46</v>
      </c>
      <c r="F34" s="8">
        <v>29</v>
      </c>
      <c r="G34" s="9">
        <v>143797.57999999999</v>
      </c>
      <c r="H34" s="8">
        <v>4958.5372413793102</v>
      </c>
      <c r="I34" s="10">
        <v>2</v>
      </c>
      <c r="J34" s="11">
        <v>0</v>
      </c>
      <c r="K34" s="24">
        <v>0</v>
      </c>
      <c r="L34" s="9">
        <v>28901.01</v>
      </c>
      <c r="M34" s="8">
        <v>14450.504999999999</v>
      </c>
      <c r="N34" s="12" t="s">
        <v>203</v>
      </c>
      <c r="O34" s="12" t="s">
        <v>24</v>
      </c>
      <c r="P34" s="6" t="s">
        <v>19</v>
      </c>
      <c r="Q34" s="13"/>
      <c r="R34" s="25"/>
    </row>
    <row r="35" spans="1:18" ht="21" customHeight="1" x14ac:dyDescent="0.2">
      <c r="A35" s="6" t="s">
        <v>17</v>
      </c>
      <c r="B35" s="24" t="s">
        <v>200</v>
      </c>
      <c r="C35" s="6" t="s">
        <v>19</v>
      </c>
      <c r="D35" s="6" t="s">
        <v>135</v>
      </c>
      <c r="E35" s="6" t="s">
        <v>136</v>
      </c>
      <c r="F35" s="8">
        <v>66</v>
      </c>
      <c r="G35" s="9">
        <v>318933.65999999997</v>
      </c>
      <c r="H35" s="8">
        <v>4832.3281818181813</v>
      </c>
      <c r="I35" s="10"/>
      <c r="J35" s="11"/>
      <c r="K35" s="24"/>
      <c r="L35" s="9"/>
      <c r="M35" s="8"/>
      <c r="N35" s="12" t="s">
        <v>203</v>
      </c>
      <c r="O35" s="12" t="s">
        <v>24</v>
      </c>
      <c r="P35" s="6" t="s">
        <v>19</v>
      </c>
      <c r="Q35" s="13"/>
      <c r="R35" s="25"/>
    </row>
    <row r="36" spans="1:18" ht="21" customHeight="1" x14ac:dyDescent="0.2">
      <c r="A36" s="6" t="s">
        <v>17</v>
      </c>
      <c r="B36" s="24" t="s">
        <v>200</v>
      </c>
      <c r="C36" s="6" t="s">
        <v>19</v>
      </c>
      <c r="D36" s="6" t="s">
        <v>123</v>
      </c>
      <c r="E36" s="6" t="s">
        <v>124</v>
      </c>
      <c r="F36" s="8">
        <v>73</v>
      </c>
      <c r="G36" s="9">
        <v>346813.5</v>
      </c>
      <c r="H36" s="8">
        <v>4750.8698630136987</v>
      </c>
      <c r="I36" s="10"/>
      <c r="J36" s="11"/>
      <c r="K36" s="24"/>
      <c r="L36" s="9"/>
      <c r="M36" s="8"/>
      <c r="N36" s="12" t="s">
        <v>203</v>
      </c>
      <c r="O36" s="12" t="s">
        <v>24</v>
      </c>
      <c r="P36" s="6" t="s">
        <v>19</v>
      </c>
      <c r="Q36" s="13"/>
      <c r="R36" s="25"/>
    </row>
    <row r="37" spans="1:18" ht="21" customHeight="1" x14ac:dyDescent="0.2">
      <c r="A37" s="6" t="s">
        <v>17</v>
      </c>
      <c r="B37" s="24" t="s">
        <v>200</v>
      </c>
      <c r="C37" s="6" t="s">
        <v>19</v>
      </c>
      <c r="D37" s="6" t="s">
        <v>51</v>
      </c>
      <c r="E37" s="6" t="s">
        <v>52</v>
      </c>
      <c r="F37" s="8">
        <v>88</v>
      </c>
      <c r="G37" s="9">
        <v>413415.26999999996</v>
      </c>
      <c r="H37" s="8">
        <v>4697.900795454545</v>
      </c>
      <c r="I37" s="10"/>
      <c r="J37" s="11"/>
      <c r="K37" s="24"/>
      <c r="L37" s="9"/>
      <c r="M37" s="8"/>
      <c r="N37" s="12" t="s">
        <v>203</v>
      </c>
      <c r="O37" s="12" t="s">
        <v>24</v>
      </c>
      <c r="P37" s="6" t="s">
        <v>19</v>
      </c>
      <c r="Q37" s="13"/>
      <c r="R37" s="25"/>
    </row>
    <row r="38" spans="1:18" ht="21" customHeight="1" x14ac:dyDescent="0.2">
      <c r="A38" s="6" t="s">
        <v>17</v>
      </c>
      <c r="B38" s="24" t="s">
        <v>200</v>
      </c>
      <c r="C38" s="6" t="s">
        <v>19</v>
      </c>
      <c r="D38" s="6" t="s">
        <v>161</v>
      </c>
      <c r="E38" s="6" t="s">
        <v>162</v>
      </c>
      <c r="F38" s="8">
        <v>14</v>
      </c>
      <c r="G38" s="9">
        <v>63808.17</v>
      </c>
      <c r="H38" s="8">
        <v>4557.7264285714282</v>
      </c>
      <c r="I38" s="10"/>
      <c r="J38" s="11"/>
      <c r="K38" s="24"/>
      <c r="L38" s="9"/>
      <c r="M38" s="8"/>
      <c r="N38" s="12" t="s">
        <v>203</v>
      </c>
      <c r="O38" s="12" t="s">
        <v>24</v>
      </c>
      <c r="P38" s="6" t="s">
        <v>19</v>
      </c>
      <c r="Q38" s="13"/>
      <c r="R38" s="25"/>
    </row>
    <row r="39" spans="1:18" ht="21" customHeight="1" x14ac:dyDescent="0.2">
      <c r="A39" s="6" t="s">
        <v>17</v>
      </c>
      <c r="B39" s="24" t="s">
        <v>200</v>
      </c>
      <c r="C39" s="6" t="s">
        <v>19</v>
      </c>
      <c r="D39" s="6" t="s">
        <v>83</v>
      </c>
      <c r="E39" s="6" t="s">
        <v>84</v>
      </c>
      <c r="F39" s="8">
        <v>43</v>
      </c>
      <c r="G39" s="9">
        <v>193945</v>
      </c>
      <c r="H39" s="8">
        <v>4510.3488372093025</v>
      </c>
      <c r="I39" s="10"/>
      <c r="J39" s="11"/>
      <c r="K39" s="24"/>
      <c r="L39" s="9"/>
      <c r="M39" s="8"/>
      <c r="N39" s="12" t="s">
        <v>203</v>
      </c>
      <c r="O39" s="12" t="s">
        <v>24</v>
      </c>
      <c r="P39" s="6" t="s">
        <v>19</v>
      </c>
      <c r="Q39" s="13"/>
      <c r="R39" s="25"/>
    </row>
    <row r="40" spans="1:18" ht="21" customHeight="1" x14ac:dyDescent="0.2">
      <c r="A40" s="6" t="s">
        <v>17</v>
      </c>
      <c r="B40" s="24" t="s">
        <v>200</v>
      </c>
      <c r="C40" s="6" t="s">
        <v>19</v>
      </c>
      <c r="D40" s="6" t="s">
        <v>63</v>
      </c>
      <c r="E40" s="6" t="s">
        <v>64</v>
      </c>
      <c r="F40" s="8">
        <v>77</v>
      </c>
      <c r="G40" s="9">
        <v>339479.36</v>
      </c>
      <c r="H40" s="8">
        <v>4408.8228571428572</v>
      </c>
      <c r="I40" s="10"/>
      <c r="J40" s="11"/>
      <c r="K40" s="24"/>
      <c r="L40" s="9"/>
      <c r="M40" s="8"/>
      <c r="N40" s="12" t="s">
        <v>203</v>
      </c>
      <c r="O40" s="12" t="s">
        <v>24</v>
      </c>
      <c r="P40" s="6" t="s">
        <v>19</v>
      </c>
      <c r="Q40" s="13"/>
      <c r="R40" s="25"/>
    </row>
    <row r="41" spans="1:18" ht="21" customHeight="1" x14ac:dyDescent="0.2">
      <c r="A41" s="6" t="s">
        <v>17</v>
      </c>
      <c r="B41" s="24" t="s">
        <v>200</v>
      </c>
      <c r="C41" s="6" t="s">
        <v>19</v>
      </c>
      <c r="D41" s="6" t="s">
        <v>222</v>
      </c>
      <c r="E41" s="6" t="s">
        <v>223</v>
      </c>
      <c r="F41" s="8">
        <v>24</v>
      </c>
      <c r="G41" s="9">
        <v>103635</v>
      </c>
      <c r="H41" s="8">
        <v>4318.125</v>
      </c>
      <c r="I41" s="10"/>
      <c r="J41" s="11"/>
      <c r="K41" s="24"/>
      <c r="L41" s="9"/>
      <c r="M41" s="8"/>
      <c r="N41" s="12" t="s">
        <v>203</v>
      </c>
      <c r="O41" s="12" t="s">
        <v>24</v>
      </c>
      <c r="P41" s="6" t="s">
        <v>19</v>
      </c>
      <c r="Q41" s="13"/>
      <c r="R41" s="25"/>
    </row>
    <row r="42" spans="1:18" ht="21" customHeight="1" x14ac:dyDescent="0.2">
      <c r="A42" s="6" t="s">
        <v>17</v>
      </c>
      <c r="B42" s="24" t="s">
        <v>200</v>
      </c>
      <c r="C42" s="6" t="s">
        <v>19</v>
      </c>
      <c r="D42" s="6" t="s">
        <v>35</v>
      </c>
      <c r="E42" s="6" t="s">
        <v>36</v>
      </c>
      <c r="F42" s="8">
        <v>19</v>
      </c>
      <c r="G42" s="9">
        <v>81254</v>
      </c>
      <c r="H42" s="8">
        <v>4276.5263157894733</v>
      </c>
      <c r="I42" s="10">
        <v>2</v>
      </c>
      <c r="J42" s="11">
        <v>0</v>
      </c>
      <c r="K42" s="24">
        <v>0</v>
      </c>
      <c r="L42" s="9">
        <v>49369</v>
      </c>
      <c r="M42" s="8">
        <v>24684.5</v>
      </c>
      <c r="N42" s="12" t="s">
        <v>203</v>
      </c>
      <c r="O42" s="12" t="s">
        <v>24</v>
      </c>
      <c r="P42" s="6" t="s">
        <v>19</v>
      </c>
      <c r="Q42" s="13"/>
      <c r="R42" s="25"/>
    </row>
    <row r="43" spans="1:18" ht="21" customHeight="1" x14ac:dyDescent="0.2">
      <c r="A43" s="6" t="s">
        <v>17</v>
      </c>
      <c r="B43" s="24" t="s">
        <v>200</v>
      </c>
      <c r="C43" s="6" t="s">
        <v>19</v>
      </c>
      <c r="D43" s="6" t="s">
        <v>187</v>
      </c>
      <c r="E43" s="6" t="s">
        <v>188</v>
      </c>
      <c r="F43" s="8">
        <v>16</v>
      </c>
      <c r="G43" s="9">
        <v>67466.58</v>
      </c>
      <c r="H43" s="8">
        <v>4216.6612500000001</v>
      </c>
      <c r="I43" s="10"/>
      <c r="J43" s="11"/>
      <c r="K43" s="24"/>
      <c r="L43" s="9"/>
      <c r="M43" s="8"/>
      <c r="N43" s="12" t="s">
        <v>203</v>
      </c>
      <c r="O43" s="12" t="s">
        <v>24</v>
      </c>
      <c r="P43" s="6" t="s">
        <v>19</v>
      </c>
      <c r="Q43" s="13"/>
      <c r="R43" s="25"/>
    </row>
    <row r="44" spans="1:18" ht="21" customHeight="1" x14ac:dyDescent="0.2">
      <c r="A44" s="6" t="s">
        <v>17</v>
      </c>
      <c r="B44" s="24" t="s">
        <v>200</v>
      </c>
      <c r="C44" s="6" t="s">
        <v>19</v>
      </c>
      <c r="D44" s="6" t="s">
        <v>47</v>
      </c>
      <c r="E44" s="6" t="s">
        <v>48</v>
      </c>
      <c r="F44" s="8">
        <v>58</v>
      </c>
      <c r="G44" s="9">
        <v>238032.97</v>
      </c>
      <c r="H44" s="8">
        <v>4104.0167241379313</v>
      </c>
      <c r="I44" s="10"/>
      <c r="J44" s="11"/>
      <c r="K44" s="24"/>
      <c r="L44" s="9"/>
      <c r="M44" s="8"/>
      <c r="N44" s="12" t="s">
        <v>203</v>
      </c>
      <c r="O44" s="12" t="s">
        <v>24</v>
      </c>
      <c r="P44" s="6" t="s">
        <v>19</v>
      </c>
      <c r="Q44" s="13"/>
      <c r="R44" s="25"/>
    </row>
    <row r="45" spans="1:18" ht="21" customHeight="1" x14ac:dyDescent="0.2">
      <c r="A45" s="6" t="s">
        <v>17</v>
      </c>
      <c r="B45" s="24" t="s">
        <v>200</v>
      </c>
      <c r="C45" s="6" t="s">
        <v>19</v>
      </c>
      <c r="D45" s="6" t="s">
        <v>169</v>
      </c>
      <c r="E45" s="6" t="s">
        <v>170</v>
      </c>
      <c r="F45" s="8">
        <v>174</v>
      </c>
      <c r="G45" s="9">
        <v>702424.71</v>
      </c>
      <c r="H45" s="8">
        <v>4036.9236206896549</v>
      </c>
      <c r="I45" s="10">
        <v>3</v>
      </c>
      <c r="J45" s="11">
        <v>0</v>
      </c>
      <c r="K45" s="24">
        <v>0</v>
      </c>
      <c r="L45" s="9">
        <v>111.01</v>
      </c>
      <c r="M45" s="8">
        <v>37.003333333333337</v>
      </c>
      <c r="N45" s="12" t="s">
        <v>203</v>
      </c>
      <c r="O45" s="12" t="s">
        <v>24</v>
      </c>
      <c r="P45" s="6" t="s">
        <v>19</v>
      </c>
      <c r="Q45" s="13"/>
      <c r="R45" s="25"/>
    </row>
    <row r="46" spans="1:18" ht="21" customHeight="1" x14ac:dyDescent="0.2">
      <c r="A46" s="6" t="s">
        <v>17</v>
      </c>
      <c r="B46" s="24" t="s">
        <v>200</v>
      </c>
      <c r="C46" s="6" t="s">
        <v>19</v>
      </c>
      <c r="D46" s="6" t="s">
        <v>75</v>
      </c>
      <c r="E46" s="6" t="s">
        <v>76</v>
      </c>
      <c r="F46" s="8">
        <v>110</v>
      </c>
      <c r="G46" s="9">
        <v>427426.93</v>
      </c>
      <c r="H46" s="8">
        <v>3885.6993636363636</v>
      </c>
      <c r="I46" s="10">
        <v>1</v>
      </c>
      <c r="J46" s="11">
        <v>1</v>
      </c>
      <c r="K46" s="24">
        <v>1</v>
      </c>
      <c r="L46" s="9"/>
      <c r="M46" s="8"/>
      <c r="N46" s="12" t="s">
        <v>203</v>
      </c>
      <c r="O46" s="12" t="s">
        <v>24</v>
      </c>
      <c r="P46" s="6" t="s">
        <v>19</v>
      </c>
      <c r="Q46" s="13"/>
      <c r="R46" s="25"/>
    </row>
    <row r="47" spans="1:18" ht="21" customHeight="1" x14ac:dyDescent="0.2">
      <c r="A47" s="6" t="s">
        <v>17</v>
      </c>
      <c r="B47" s="24" t="s">
        <v>200</v>
      </c>
      <c r="C47" s="6" t="s">
        <v>19</v>
      </c>
      <c r="D47" s="6" t="s">
        <v>224</v>
      </c>
      <c r="E47" s="6" t="s">
        <v>225</v>
      </c>
      <c r="F47" s="8">
        <v>4</v>
      </c>
      <c r="G47" s="9">
        <v>15115.98</v>
      </c>
      <c r="H47" s="8">
        <v>3778.9949999999999</v>
      </c>
      <c r="I47" s="10"/>
      <c r="J47" s="11"/>
      <c r="K47" s="24"/>
      <c r="L47" s="9"/>
      <c r="M47" s="8"/>
      <c r="N47" s="12" t="s">
        <v>203</v>
      </c>
      <c r="O47" s="12" t="s">
        <v>24</v>
      </c>
      <c r="P47" s="6" t="s">
        <v>19</v>
      </c>
      <c r="Q47" s="13"/>
      <c r="R47" s="25"/>
    </row>
    <row r="48" spans="1:18" ht="21" customHeight="1" x14ac:dyDescent="0.2">
      <c r="A48" s="6" t="s">
        <v>17</v>
      </c>
      <c r="B48" s="24" t="s">
        <v>200</v>
      </c>
      <c r="C48" s="6" t="s">
        <v>19</v>
      </c>
      <c r="D48" s="6" t="s">
        <v>159</v>
      </c>
      <c r="E48" s="6" t="s">
        <v>160</v>
      </c>
      <c r="F48" s="8">
        <v>47</v>
      </c>
      <c r="G48" s="9">
        <v>177424.88</v>
      </c>
      <c r="H48" s="8">
        <v>3774.9974468085106</v>
      </c>
      <c r="I48" s="10">
        <v>1</v>
      </c>
      <c r="J48" s="11">
        <v>1</v>
      </c>
      <c r="K48" s="24">
        <v>1</v>
      </c>
      <c r="L48" s="9"/>
      <c r="M48" s="8"/>
      <c r="N48" s="12" t="s">
        <v>203</v>
      </c>
      <c r="O48" s="12" t="s">
        <v>24</v>
      </c>
      <c r="P48" s="6" t="s">
        <v>19</v>
      </c>
      <c r="Q48" s="13"/>
      <c r="R48" s="25"/>
    </row>
    <row r="49" spans="1:18" ht="21" customHeight="1" x14ac:dyDescent="0.2">
      <c r="A49" s="6" t="s">
        <v>17</v>
      </c>
      <c r="B49" s="24" t="s">
        <v>200</v>
      </c>
      <c r="C49" s="6" t="s">
        <v>19</v>
      </c>
      <c r="D49" s="6" t="s">
        <v>29</v>
      </c>
      <c r="E49" s="6" t="s">
        <v>30</v>
      </c>
      <c r="F49" s="8">
        <v>26</v>
      </c>
      <c r="G49" s="9">
        <v>97946.68</v>
      </c>
      <c r="H49" s="8">
        <v>3767.18</v>
      </c>
      <c r="I49" s="10">
        <v>1</v>
      </c>
      <c r="J49" s="11">
        <v>0</v>
      </c>
      <c r="K49" s="24">
        <v>0</v>
      </c>
      <c r="L49" s="9">
        <v>5000</v>
      </c>
      <c r="M49" s="8">
        <v>5000</v>
      </c>
      <c r="N49" s="12" t="s">
        <v>203</v>
      </c>
      <c r="O49" s="12" t="s">
        <v>24</v>
      </c>
      <c r="P49" s="6" t="s">
        <v>19</v>
      </c>
      <c r="Q49" s="13"/>
      <c r="R49" s="25"/>
    </row>
    <row r="50" spans="1:18" ht="21" customHeight="1" x14ac:dyDescent="0.2">
      <c r="A50" s="6" t="s">
        <v>17</v>
      </c>
      <c r="B50" s="24" t="s">
        <v>200</v>
      </c>
      <c r="C50" s="6" t="s">
        <v>19</v>
      </c>
      <c r="D50" s="6" t="s">
        <v>97</v>
      </c>
      <c r="E50" s="6" t="s">
        <v>98</v>
      </c>
      <c r="F50" s="8">
        <v>58</v>
      </c>
      <c r="G50" s="9">
        <v>217785</v>
      </c>
      <c r="H50" s="8">
        <v>3754.9137931034484</v>
      </c>
      <c r="I50" s="10">
        <v>4</v>
      </c>
      <c r="J50" s="11">
        <v>2</v>
      </c>
      <c r="K50" s="24">
        <v>0.5</v>
      </c>
      <c r="L50" s="9">
        <v>56</v>
      </c>
      <c r="M50" s="8">
        <v>14</v>
      </c>
      <c r="N50" s="12" t="s">
        <v>203</v>
      </c>
      <c r="O50" s="12" t="s">
        <v>24</v>
      </c>
      <c r="P50" s="6" t="s">
        <v>19</v>
      </c>
      <c r="Q50" s="13"/>
      <c r="R50" s="25"/>
    </row>
    <row r="51" spans="1:18" ht="21" customHeight="1" x14ac:dyDescent="0.2">
      <c r="A51" s="6" t="s">
        <v>17</v>
      </c>
      <c r="B51" s="24" t="s">
        <v>200</v>
      </c>
      <c r="C51" s="6" t="s">
        <v>19</v>
      </c>
      <c r="D51" s="6" t="s">
        <v>157</v>
      </c>
      <c r="E51" s="6" t="s">
        <v>158</v>
      </c>
      <c r="F51" s="8">
        <v>94</v>
      </c>
      <c r="G51" s="9">
        <v>348779.89</v>
      </c>
      <c r="H51" s="8">
        <v>3710.424361702128</v>
      </c>
      <c r="I51" s="10"/>
      <c r="J51" s="11"/>
      <c r="K51" s="24"/>
      <c r="L51" s="9"/>
      <c r="M51" s="8"/>
      <c r="N51" s="12" t="s">
        <v>203</v>
      </c>
      <c r="O51" s="12" t="s">
        <v>24</v>
      </c>
      <c r="P51" s="6" t="s">
        <v>19</v>
      </c>
      <c r="Q51" s="13"/>
      <c r="R51" s="25"/>
    </row>
    <row r="52" spans="1:18" ht="21" customHeight="1" x14ac:dyDescent="0.2">
      <c r="A52" s="6" t="s">
        <v>17</v>
      </c>
      <c r="B52" s="24" t="s">
        <v>200</v>
      </c>
      <c r="C52" s="6" t="s">
        <v>19</v>
      </c>
      <c r="D52" s="6" t="s">
        <v>165</v>
      </c>
      <c r="E52" s="6" t="s">
        <v>166</v>
      </c>
      <c r="F52" s="8">
        <v>8</v>
      </c>
      <c r="G52" s="9">
        <v>29262</v>
      </c>
      <c r="H52" s="8">
        <v>3657.75</v>
      </c>
      <c r="I52" s="10"/>
      <c r="J52" s="11"/>
      <c r="K52" s="24"/>
      <c r="L52" s="9"/>
      <c r="M52" s="8"/>
      <c r="N52" s="12" t="s">
        <v>203</v>
      </c>
      <c r="O52" s="12" t="s">
        <v>24</v>
      </c>
      <c r="P52" s="6" t="s">
        <v>19</v>
      </c>
      <c r="Q52" s="13"/>
      <c r="R52" s="25"/>
    </row>
    <row r="53" spans="1:18" ht="21" customHeight="1" x14ac:dyDescent="0.2">
      <c r="A53" s="6" t="s">
        <v>17</v>
      </c>
      <c r="B53" s="24" t="s">
        <v>200</v>
      </c>
      <c r="C53" s="6" t="s">
        <v>19</v>
      </c>
      <c r="D53" s="6" t="s">
        <v>173</v>
      </c>
      <c r="E53" s="6" t="s">
        <v>174</v>
      </c>
      <c r="F53" s="8">
        <v>45</v>
      </c>
      <c r="G53" s="9">
        <v>157017</v>
      </c>
      <c r="H53" s="8">
        <v>3489.2666666666669</v>
      </c>
      <c r="I53" s="10"/>
      <c r="J53" s="11"/>
      <c r="K53" s="24"/>
      <c r="L53" s="9"/>
      <c r="M53" s="8"/>
      <c r="N53" s="12" t="s">
        <v>203</v>
      </c>
      <c r="O53" s="12" t="s">
        <v>24</v>
      </c>
      <c r="P53" s="6" t="s">
        <v>19</v>
      </c>
      <c r="Q53" s="13"/>
      <c r="R53" s="25"/>
    </row>
    <row r="54" spans="1:18" ht="21" customHeight="1" x14ac:dyDescent="0.2">
      <c r="A54" s="6" t="s">
        <v>17</v>
      </c>
      <c r="B54" s="24" t="s">
        <v>200</v>
      </c>
      <c r="C54" s="6" t="s">
        <v>19</v>
      </c>
      <c r="D54" s="6" t="s">
        <v>119</v>
      </c>
      <c r="E54" s="6" t="s">
        <v>120</v>
      </c>
      <c r="F54" s="8">
        <v>9</v>
      </c>
      <c r="G54" s="9">
        <v>31382.959999999999</v>
      </c>
      <c r="H54" s="8">
        <v>3486.9955555555553</v>
      </c>
      <c r="I54" s="10"/>
      <c r="J54" s="11"/>
      <c r="K54" s="24"/>
      <c r="L54" s="9"/>
      <c r="M54" s="8"/>
      <c r="N54" s="12" t="s">
        <v>203</v>
      </c>
      <c r="O54" s="12" t="s">
        <v>24</v>
      </c>
      <c r="P54" s="6" t="s">
        <v>19</v>
      </c>
      <c r="Q54" s="13"/>
      <c r="R54" s="25"/>
    </row>
    <row r="55" spans="1:18" ht="21" customHeight="1" x14ac:dyDescent="0.2">
      <c r="A55" s="6" t="s">
        <v>17</v>
      </c>
      <c r="B55" s="24" t="s">
        <v>200</v>
      </c>
      <c r="C55" s="6" t="s">
        <v>19</v>
      </c>
      <c r="D55" s="6" t="s">
        <v>103</v>
      </c>
      <c r="E55" s="6" t="s">
        <v>104</v>
      </c>
      <c r="F55" s="8">
        <v>61</v>
      </c>
      <c r="G55" s="9">
        <v>202256.3</v>
      </c>
      <c r="H55" s="8">
        <v>3315.6770491803277</v>
      </c>
      <c r="I55" s="10"/>
      <c r="J55" s="11"/>
      <c r="K55" s="24"/>
      <c r="L55" s="9"/>
      <c r="M55" s="8"/>
      <c r="N55" s="12" t="s">
        <v>203</v>
      </c>
      <c r="O55" s="12" t="s">
        <v>24</v>
      </c>
      <c r="P55" s="6" t="s">
        <v>19</v>
      </c>
      <c r="Q55" s="13"/>
      <c r="R55" s="25"/>
    </row>
    <row r="56" spans="1:18" ht="21" customHeight="1" x14ac:dyDescent="0.2">
      <c r="A56" s="6" t="s">
        <v>17</v>
      </c>
      <c r="B56" s="24" t="s">
        <v>200</v>
      </c>
      <c r="C56" s="6" t="s">
        <v>19</v>
      </c>
      <c r="D56" s="6" t="s">
        <v>167</v>
      </c>
      <c r="E56" s="6" t="s">
        <v>168</v>
      </c>
      <c r="F56" s="8">
        <v>53</v>
      </c>
      <c r="G56" s="9">
        <v>174409.28</v>
      </c>
      <c r="H56" s="8">
        <v>3290.7411320754718</v>
      </c>
      <c r="I56" s="10"/>
      <c r="J56" s="11"/>
      <c r="K56" s="24"/>
      <c r="L56" s="9"/>
      <c r="M56" s="8"/>
      <c r="N56" s="12" t="s">
        <v>203</v>
      </c>
      <c r="O56" s="12" t="s">
        <v>24</v>
      </c>
      <c r="P56" s="6" t="s">
        <v>19</v>
      </c>
      <c r="Q56" s="13"/>
      <c r="R56" s="25"/>
    </row>
    <row r="57" spans="1:18" ht="21" customHeight="1" x14ac:dyDescent="0.2">
      <c r="A57" s="6" t="s">
        <v>17</v>
      </c>
      <c r="B57" s="24" t="s">
        <v>200</v>
      </c>
      <c r="C57" s="6" t="s">
        <v>19</v>
      </c>
      <c r="D57" s="6" t="s">
        <v>61</v>
      </c>
      <c r="E57" s="6" t="s">
        <v>62</v>
      </c>
      <c r="F57" s="8">
        <v>46</v>
      </c>
      <c r="G57" s="9">
        <v>138581.02000000002</v>
      </c>
      <c r="H57" s="8">
        <v>3012.6308695652178</v>
      </c>
      <c r="I57" s="10">
        <v>2</v>
      </c>
      <c r="J57" s="11">
        <v>1</v>
      </c>
      <c r="K57" s="24">
        <v>0.5</v>
      </c>
      <c r="L57" s="9">
        <v>100</v>
      </c>
      <c r="M57" s="8">
        <v>50</v>
      </c>
      <c r="N57" s="12" t="s">
        <v>203</v>
      </c>
      <c r="O57" s="12" t="s">
        <v>24</v>
      </c>
      <c r="P57" s="6" t="s">
        <v>19</v>
      </c>
      <c r="Q57" s="13"/>
      <c r="R57" s="25"/>
    </row>
    <row r="58" spans="1:18" ht="21" customHeight="1" x14ac:dyDescent="0.2">
      <c r="A58" s="6" t="s">
        <v>17</v>
      </c>
      <c r="B58" s="24" t="s">
        <v>200</v>
      </c>
      <c r="C58" s="6" t="s">
        <v>19</v>
      </c>
      <c r="D58" s="6" t="s">
        <v>226</v>
      </c>
      <c r="E58" s="6" t="s">
        <v>227</v>
      </c>
      <c r="F58" s="8">
        <v>24</v>
      </c>
      <c r="G58" s="9">
        <v>70986.63</v>
      </c>
      <c r="H58" s="8">
        <v>2957.7762500000003</v>
      </c>
      <c r="I58" s="10"/>
      <c r="J58" s="11"/>
      <c r="K58" s="24"/>
      <c r="L58" s="9"/>
      <c r="M58" s="8"/>
      <c r="N58" s="12" t="s">
        <v>203</v>
      </c>
      <c r="O58" s="12" t="s">
        <v>24</v>
      </c>
      <c r="P58" s="6" t="s">
        <v>19</v>
      </c>
      <c r="Q58" s="13"/>
      <c r="R58" s="25"/>
    </row>
    <row r="59" spans="1:18" ht="21" customHeight="1" x14ac:dyDescent="0.2">
      <c r="A59" s="6" t="s">
        <v>17</v>
      </c>
      <c r="B59" s="24" t="s">
        <v>200</v>
      </c>
      <c r="C59" s="6" t="s">
        <v>19</v>
      </c>
      <c r="D59" s="6" t="s">
        <v>93</v>
      </c>
      <c r="E59" s="6" t="s">
        <v>94</v>
      </c>
      <c r="F59" s="8">
        <v>32</v>
      </c>
      <c r="G59" s="9">
        <v>92632.62</v>
      </c>
      <c r="H59" s="8">
        <v>2894.7693749999999</v>
      </c>
      <c r="I59" s="10">
        <v>1</v>
      </c>
      <c r="J59" s="11">
        <v>0</v>
      </c>
      <c r="K59" s="24">
        <v>0</v>
      </c>
      <c r="L59" s="9">
        <v>210.1</v>
      </c>
      <c r="M59" s="8">
        <v>210.1</v>
      </c>
      <c r="N59" s="12" t="s">
        <v>203</v>
      </c>
      <c r="O59" s="12" t="s">
        <v>24</v>
      </c>
      <c r="P59" s="6" t="s">
        <v>19</v>
      </c>
      <c r="Q59" s="13"/>
      <c r="R59" s="25"/>
    </row>
    <row r="60" spans="1:18" ht="21" customHeight="1" x14ac:dyDescent="0.2">
      <c r="A60" s="6" t="s">
        <v>17</v>
      </c>
      <c r="B60" s="24" t="s">
        <v>200</v>
      </c>
      <c r="C60" s="6" t="s">
        <v>19</v>
      </c>
      <c r="D60" s="6" t="s">
        <v>125</v>
      </c>
      <c r="E60" s="6" t="s">
        <v>126</v>
      </c>
      <c r="F60" s="8">
        <v>17</v>
      </c>
      <c r="G60" s="9">
        <v>48809</v>
      </c>
      <c r="H60" s="8">
        <v>2871.1176470588234</v>
      </c>
      <c r="I60" s="10"/>
      <c r="J60" s="11"/>
      <c r="K60" s="24"/>
      <c r="L60" s="9"/>
      <c r="M60" s="8"/>
      <c r="N60" s="12" t="s">
        <v>203</v>
      </c>
      <c r="O60" s="12" t="s">
        <v>24</v>
      </c>
      <c r="P60" s="6" t="s">
        <v>19</v>
      </c>
      <c r="Q60" s="13"/>
      <c r="R60" s="25"/>
    </row>
    <row r="61" spans="1:18" ht="21" customHeight="1" x14ac:dyDescent="0.2">
      <c r="A61" s="6" t="s">
        <v>17</v>
      </c>
      <c r="B61" s="24" t="s">
        <v>200</v>
      </c>
      <c r="C61" s="6" t="s">
        <v>19</v>
      </c>
      <c r="D61" s="6" t="s">
        <v>65</v>
      </c>
      <c r="E61" s="6" t="s">
        <v>66</v>
      </c>
      <c r="F61" s="8">
        <v>72</v>
      </c>
      <c r="G61" s="9">
        <v>206067.32</v>
      </c>
      <c r="H61" s="8">
        <v>2862.0461111111113</v>
      </c>
      <c r="I61" s="10">
        <v>2</v>
      </c>
      <c r="J61" s="11">
        <v>0</v>
      </c>
      <c r="K61" s="24">
        <v>0</v>
      </c>
      <c r="L61" s="9">
        <v>2100</v>
      </c>
      <c r="M61" s="8">
        <v>1050</v>
      </c>
      <c r="N61" s="12" t="s">
        <v>203</v>
      </c>
      <c r="O61" s="12" t="s">
        <v>24</v>
      </c>
      <c r="P61" s="6" t="s">
        <v>19</v>
      </c>
      <c r="Q61" s="13"/>
      <c r="R61" s="25"/>
    </row>
    <row r="62" spans="1:18" ht="21" customHeight="1" x14ac:dyDescent="0.2">
      <c r="A62" s="6" t="s">
        <v>17</v>
      </c>
      <c r="B62" s="24" t="s">
        <v>200</v>
      </c>
      <c r="C62" s="6" t="s">
        <v>19</v>
      </c>
      <c r="D62" s="6" t="s">
        <v>49</v>
      </c>
      <c r="E62" s="6" t="s">
        <v>50</v>
      </c>
      <c r="F62" s="8">
        <v>18</v>
      </c>
      <c r="G62" s="9">
        <v>51431.05</v>
      </c>
      <c r="H62" s="8">
        <v>2857.2805555555556</v>
      </c>
      <c r="I62" s="10"/>
      <c r="J62" s="11"/>
      <c r="K62" s="24"/>
      <c r="L62" s="9"/>
      <c r="M62" s="8"/>
      <c r="N62" s="12" t="s">
        <v>203</v>
      </c>
      <c r="O62" s="12" t="s">
        <v>24</v>
      </c>
      <c r="P62" s="6" t="s">
        <v>19</v>
      </c>
      <c r="Q62" s="13"/>
      <c r="R62" s="25"/>
    </row>
    <row r="63" spans="1:18" ht="21" customHeight="1" x14ac:dyDescent="0.2">
      <c r="A63" s="6" t="s">
        <v>17</v>
      </c>
      <c r="B63" s="24" t="s">
        <v>200</v>
      </c>
      <c r="C63" s="6" t="s">
        <v>19</v>
      </c>
      <c r="D63" s="6" t="s">
        <v>59</v>
      </c>
      <c r="E63" s="6" t="s">
        <v>60</v>
      </c>
      <c r="F63" s="8">
        <v>50</v>
      </c>
      <c r="G63" s="9">
        <v>139974.47</v>
      </c>
      <c r="H63" s="8">
        <v>2799.4893999999999</v>
      </c>
      <c r="I63" s="10"/>
      <c r="J63" s="11"/>
      <c r="K63" s="24"/>
      <c r="L63" s="9"/>
      <c r="M63" s="8"/>
      <c r="N63" s="12" t="s">
        <v>203</v>
      </c>
      <c r="O63" s="12" t="s">
        <v>24</v>
      </c>
      <c r="P63" s="6" t="s">
        <v>19</v>
      </c>
      <c r="Q63" s="13"/>
      <c r="R63" s="25"/>
    </row>
    <row r="64" spans="1:18" ht="21" customHeight="1" x14ac:dyDescent="0.2">
      <c r="A64" s="6" t="s">
        <v>17</v>
      </c>
      <c r="B64" s="24" t="s">
        <v>200</v>
      </c>
      <c r="C64" s="6" t="s">
        <v>19</v>
      </c>
      <c r="D64" s="6" t="s">
        <v>67</v>
      </c>
      <c r="E64" s="6" t="s">
        <v>68</v>
      </c>
      <c r="F64" s="8">
        <v>52</v>
      </c>
      <c r="G64" s="9">
        <v>140716</v>
      </c>
      <c r="H64" s="8">
        <v>2706.0769230769229</v>
      </c>
      <c r="I64" s="10"/>
      <c r="J64" s="11"/>
      <c r="K64" s="24"/>
      <c r="L64" s="9"/>
      <c r="M64" s="8"/>
      <c r="N64" s="12" t="s">
        <v>203</v>
      </c>
      <c r="O64" s="12" t="s">
        <v>24</v>
      </c>
      <c r="P64" s="6" t="s">
        <v>19</v>
      </c>
      <c r="Q64" s="13"/>
      <c r="R64" s="25"/>
    </row>
    <row r="65" spans="1:18" ht="21" customHeight="1" x14ac:dyDescent="0.2">
      <c r="A65" s="6" t="s">
        <v>17</v>
      </c>
      <c r="B65" s="24" t="s">
        <v>200</v>
      </c>
      <c r="C65" s="6" t="s">
        <v>19</v>
      </c>
      <c r="D65" s="6" t="s">
        <v>228</v>
      </c>
      <c r="E65" s="6" t="s">
        <v>229</v>
      </c>
      <c r="F65" s="8">
        <v>10</v>
      </c>
      <c r="G65" s="9">
        <v>26548</v>
      </c>
      <c r="H65" s="8">
        <v>2654.8</v>
      </c>
      <c r="I65" s="10"/>
      <c r="J65" s="11"/>
      <c r="K65" s="24"/>
      <c r="L65" s="9"/>
      <c r="M65" s="8"/>
      <c r="N65" s="12" t="s">
        <v>203</v>
      </c>
      <c r="O65" s="12" t="s">
        <v>24</v>
      </c>
      <c r="P65" s="6" t="s">
        <v>19</v>
      </c>
      <c r="Q65" s="13"/>
      <c r="R65" s="25"/>
    </row>
    <row r="66" spans="1:18" ht="21" customHeight="1" x14ac:dyDescent="0.2">
      <c r="A66" s="6" t="s">
        <v>17</v>
      </c>
      <c r="B66" s="24" t="s">
        <v>200</v>
      </c>
      <c r="C66" s="6" t="s">
        <v>19</v>
      </c>
      <c r="D66" s="6" t="s">
        <v>115</v>
      </c>
      <c r="E66" s="6" t="s">
        <v>116</v>
      </c>
      <c r="F66" s="8">
        <v>119</v>
      </c>
      <c r="G66" s="9">
        <v>315913.90000000002</v>
      </c>
      <c r="H66" s="8">
        <v>2654.7386554621849</v>
      </c>
      <c r="I66" s="10">
        <v>3</v>
      </c>
      <c r="J66" s="11">
        <v>1</v>
      </c>
      <c r="K66" s="24">
        <v>0.33333333333333331</v>
      </c>
      <c r="L66" s="9">
        <v>5480</v>
      </c>
      <c r="M66" s="8">
        <v>1826.6666666666667</v>
      </c>
      <c r="N66" s="12" t="s">
        <v>203</v>
      </c>
      <c r="O66" s="12" t="s">
        <v>24</v>
      </c>
      <c r="P66" s="6" t="s">
        <v>19</v>
      </c>
      <c r="Q66" s="13"/>
      <c r="R66" s="25"/>
    </row>
    <row r="67" spans="1:18" ht="21" customHeight="1" x14ac:dyDescent="0.2">
      <c r="A67" s="6" t="s">
        <v>17</v>
      </c>
      <c r="B67" s="24" t="s">
        <v>200</v>
      </c>
      <c r="C67" s="6" t="s">
        <v>19</v>
      </c>
      <c r="D67" s="6" t="s">
        <v>57</v>
      </c>
      <c r="E67" s="6" t="s">
        <v>58</v>
      </c>
      <c r="F67" s="8">
        <v>7</v>
      </c>
      <c r="G67" s="9">
        <v>18530</v>
      </c>
      <c r="H67" s="8">
        <v>2647.1428571428573</v>
      </c>
      <c r="I67" s="10"/>
      <c r="J67" s="11"/>
      <c r="K67" s="24"/>
      <c r="L67" s="9"/>
      <c r="M67" s="8"/>
      <c r="N67" s="12" t="s">
        <v>203</v>
      </c>
      <c r="O67" s="12" t="s">
        <v>24</v>
      </c>
      <c r="P67" s="6" t="s">
        <v>19</v>
      </c>
      <c r="Q67" s="13"/>
      <c r="R67" s="25"/>
    </row>
    <row r="68" spans="1:18" ht="21" customHeight="1" x14ac:dyDescent="0.2">
      <c r="A68" s="6" t="s">
        <v>17</v>
      </c>
      <c r="B68" s="24" t="s">
        <v>200</v>
      </c>
      <c r="C68" s="6" t="s">
        <v>19</v>
      </c>
      <c r="D68" s="6" t="s">
        <v>107</v>
      </c>
      <c r="E68" s="6" t="s">
        <v>108</v>
      </c>
      <c r="F68" s="8">
        <v>68</v>
      </c>
      <c r="G68" s="9">
        <v>179451.81</v>
      </c>
      <c r="H68" s="8">
        <v>2638.9972058823528</v>
      </c>
      <c r="I68" s="10"/>
      <c r="J68" s="11"/>
      <c r="K68" s="24"/>
      <c r="L68" s="9"/>
      <c r="M68" s="8"/>
      <c r="N68" s="12" t="s">
        <v>203</v>
      </c>
      <c r="O68" s="12" t="s">
        <v>24</v>
      </c>
      <c r="P68" s="6" t="s">
        <v>19</v>
      </c>
      <c r="Q68" s="13"/>
      <c r="R68" s="25"/>
    </row>
    <row r="69" spans="1:18" ht="21" customHeight="1" x14ac:dyDescent="0.2">
      <c r="A69" s="6" t="s">
        <v>17</v>
      </c>
      <c r="B69" s="24" t="s">
        <v>200</v>
      </c>
      <c r="C69" s="6" t="s">
        <v>19</v>
      </c>
      <c r="D69" s="6" t="s">
        <v>230</v>
      </c>
      <c r="E69" s="6" t="s">
        <v>231</v>
      </c>
      <c r="F69" s="8">
        <v>25</v>
      </c>
      <c r="G69" s="9">
        <v>65323.759999999995</v>
      </c>
      <c r="H69" s="8">
        <v>2612.9503999999997</v>
      </c>
      <c r="I69" s="10">
        <v>2</v>
      </c>
      <c r="J69" s="11">
        <v>1</v>
      </c>
      <c r="K69" s="24">
        <v>0.5</v>
      </c>
      <c r="L69" s="9">
        <v>50</v>
      </c>
      <c r="M69" s="8">
        <v>25</v>
      </c>
      <c r="N69" s="12" t="s">
        <v>203</v>
      </c>
      <c r="O69" s="12" t="s">
        <v>24</v>
      </c>
      <c r="P69" s="6" t="s">
        <v>19</v>
      </c>
      <c r="Q69" s="13"/>
      <c r="R69" s="25"/>
    </row>
    <row r="70" spans="1:18" ht="21" customHeight="1" x14ac:dyDescent="0.2">
      <c r="A70" s="6" t="s">
        <v>17</v>
      </c>
      <c r="B70" s="24" t="s">
        <v>200</v>
      </c>
      <c r="C70" s="6" t="s">
        <v>19</v>
      </c>
      <c r="D70" s="6" t="s">
        <v>85</v>
      </c>
      <c r="E70" s="6" t="s">
        <v>86</v>
      </c>
      <c r="F70" s="8">
        <v>50</v>
      </c>
      <c r="G70" s="9">
        <v>129470.75</v>
      </c>
      <c r="H70" s="8">
        <v>2589.415</v>
      </c>
      <c r="I70" s="10"/>
      <c r="J70" s="11"/>
      <c r="K70" s="24"/>
      <c r="L70" s="9"/>
      <c r="M70" s="8"/>
      <c r="N70" s="12" t="s">
        <v>203</v>
      </c>
      <c r="O70" s="12" t="s">
        <v>24</v>
      </c>
      <c r="P70" s="6" t="s">
        <v>19</v>
      </c>
      <c r="Q70" s="13"/>
      <c r="R70" s="25"/>
    </row>
    <row r="71" spans="1:18" ht="21" customHeight="1" x14ac:dyDescent="0.2">
      <c r="A71" s="6" t="s">
        <v>17</v>
      </c>
      <c r="B71" s="24" t="s">
        <v>200</v>
      </c>
      <c r="C71" s="6" t="s">
        <v>19</v>
      </c>
      <c r="D71" s="6" t="s">
        <v>163</v>
      </c>
      <c r="E71" s="6" t="s">
        <v>164</v>
      </c>
      <c r="F71" s="8">
        <v>23</v>
      </c>
      <c r="G71" s="9">
        <v>59282.009999999995</v>
      </c>
      <c r="H71" s="8">
        <v>2577.4786956521739</v>
      </c>
      <c r="I71" s="10"/>
      <c r="J71" s="11"/>
      <c r="K71" s="24"/>
      <c r="L71" s="9"/>
      <c r="M71" s="8"/>
      <c r="N71" s="12" t="s">
        <v>203</v>
      </c>
      <c r="O71" s="12" t="s">
        <v>24</v>
      </c>
      <c r="P71" s="6" t="s">
        <v>19</v>
      </c>
      <c r="Q71" s="13"/>
      <c r="R71" s="25"/>
    </row>
    <row r="72" spans="1:18" ht="21" customHeight="1" x14ac:dyDescent="0.2">
      <c r="A72" s="6" t="s">
        <v>17</v>
      </c>
      <c r="B72" s="24" t="s">
        <v>200</v>
      </c>
      <c r="C72" s="6" t="s">
        <v>19</v>
      </c>
      <c r="D72" s="6" t="s">
        <v>53</v>
      </c>
      <c r="E72" s="6" t="s">
        <v>54</v>
      </c>
      <c r="F72" s="8">
        <v>53</v>
      </c>
      <c r="G72" s="9">
        <v>135148.01999999999</v>
      </c>
      <c r="H72" s="8">
        <v>2549.962641509434</v>
      </c>
      <c r="I72" s="10"/>
      <c r="J72" s="11"/>
      <c r="K72" s="24"/>
      <c r="L72" s="9"/>
      <c r="M72" s="8"/>
      <c r="N72" s="12" t="s">
        <v>203</v>
      </c>
      <c r="O72" s="12" t="s">
        <v>24</v>
      </c>
      <c r="P72" s="6" t="s">
        <v>19</v>
      </c>
      <c r="Q72" s="13"/>
      <c r="R72" s="25"/>
    </row>
    <row r="73" spans="1:18" ht="21" customHeight="1" x14ac:dyDescent="0.2">
      <c r="A73" s="6" t="s">
        <v>17</v>
      </c>
      <c r="B73" s="24" t="s">
        <v>200</v>
      </c>
      <c r="C73" s="6" t="s">
        <v>19</v>
      </c>
      <c r="D73" s="6" t="s">
        <v>91</v>
      </c>
      <c r="E73" s="6" t="s">
        <v>92</v>
      </c>
      <c r="F73" s="8">
        <v>55</v>
      </c>
      <c r="G73" s="9">
        <v>139371.27000000002</v>
      </c>
      <c r="H73" s="8">
        <v>2534.023090909091</v>
      </c>
      <c r="I73" s="10"/>
      <c r="J73" s="11"/>
      <c r="K73" s="24"/>
      <c r="L73" s="9"/>
      <c r="M73" s="8"/>
      <c r="N73" s="12" t="s">
        <v>203</v>
      </c>
      <c r="O73" s="12" t="s">
        <v>24</v>
      </c>
      <c r="P73" s="6" t="s">
        <v>19</v>
      </c>
      <c r="Q73" s="13"/>
      <c r="R73" s="25"/>
    </row>
    <row r="74" spans="1:18" ht="21" customHeight="1" x14ac:dyDescent="0.2">
      <c r="A74" s="6" t="s">
        <v>17</v>
      </c>
      <c r="B74" s="24" t="s">
        <v>200</v>
      </c>
      <c r="C74" s="6" t="s">
        <v>19</v>
      </c>
      <c r="D74" s="6" t="s">
        <v>99</v>
      </c>
      <c r="E74" s="6" t="s">
        <v>100</v>
      </c>
      <c r="F74" s="8">
        <v>40</v>
      </c>
      <c r="G74" s="9">
        <v>95081.11</v>
      </c>
      <c r="H74" s="8">
        <v>2377.0277500000002</v>
      </c>
      <c r="I74" s="10">
        <v>1</v>
      </c>
      <c r="J74" s="11">
        <v>1</v>
      </c>
      <c r="K74" s="24">
        <v>1</v>
      </c>
      <c r="L74" s="9"/>
      <c r="M74" s="8"/>
      <c r="N74" s="12" t="s">
        <v>203</v>
      </c>
      <c r="O74" s="12" t="s">
        <v>24</v>
      </c>
      <c r="P74" s="6" t="s">
        <v>19</v>
      </c>
      <c r="Q74" s="13"/>
      <c r="R74" s="25"/>
    </row>
    <row r="75" spans="1:18" ht="21" customHeight="1" x14ac:dyDescent="0.2">
      <c r="A75" s="6" t="s">
        <v>17</v>
      </c>
      <c r="B75" s="24" t="s">
        <v>200</v>
      </c>
      <c r="C75" s="6" t="s">
        <v>19</v>
      </c>
      <c r="D75" s="6" t="s">
        <v>25</v>
      </c>
      <c r="E75" s="6" t="s">
        <v>26</v>
      </c>
      <c r="F75" s="8">
        <v>27</v>
      </c>
      <c r="G75" s="9">
        <v>64039.25</v>
      </c>
      <c r="H75" s="8">
        <v>2371.8240740740739</v>
      </c>
      <c r="I75" s="10">
        <v>3</v>
      </c>
      <c r="J75" s="11">
        <v>1</v>
      </c>
      <c r="K75" s="24">
        <v>0.33333333333333331</v>
      </c>
      <c r="L75" s="9">
        <v>3672.15</v>
      </c>
      <c r="M75" s="8">
        <v>1224.05</v>
      </c>
      <c r="N75" s="12" t="s">
        <v>203</v>
      </c>
      <c r="O75" s="12" t="s">
        <v>24</v>
      </c>
      <c r="P75" s="6" t="s">
        <v>19</v>
      </c>
      <c r="Q75" s="13"/>
      <c r="R75" s="25"/>
    </row>
    <row r="76" spans="1:18" ht="21" customHeight="1" x14ac:dyDescent="0.2">
      <c r="A76" s="6" t="s">
        <v>17</v>
      </c>
      <c r="B76" s="24" t="s">
        <v>200</v>
      </c>
      <c r="C76" s="6" t="s">
        <v>19</v>
      </c>
      <c r="D76" s="6" t="s">
        <v>31</v>
      </c>
      <c r="E76" s="6" t="s">
        <v>32</v>
      </c>
      <c r="F76" s="8">
        <v>8</v>
      </c>
      <c r="G76" s="9">
        <v>18768.890000000003</v>
      </c>
      <c r="H76" s="8">
        <v>2346.1112500000004</v>
      </c>
      <c r="I76" s="10"/>
      <c r="J76" s="11"/>
      <c r="K76" s="24"/>
      <c r="L76" s="9"/>
      <c r="M76" s="8"/>
      <c r="N76" s="12" t="s">
        <v>203</v>
      </c>
      <c r="O76" s="12" t="s">
        <v>24</v>
      </c>
      <c r="P76" s="6" t="s">
        <v>19</v>
      </c>
      <c r="Q76" s="13"/>
      <c r="R76" s="25"/>
    </row>
    <row r="77" spans="1:18" ht="21" customHeight="1" x14ac:dyDescent="0.2">
      <c r="A77" s="6" t="s">
        <v>17</v>
      </c>
      <c r="B77" s="24" t="s">
        <v>200</v>
      </c>
      <c r="C77" s="6" t="s">
        <v>19</v>
      </c>
      <c r="D77" s="6" t="s">
        <v>129</v>
      </c>
      <c r="E77" s="6" t="s">
        <v>130</v>
      </c>
      <c r="F77" s="8">
        <v>81</v>
      </c>
      <c r="G77" s="9">
        <v>189909.09000000003</v>
      </c>
      <c r="H77" s="8">
        <v>2344.5566666666668</v>
      </c>
      <c r="I77" s="10">
        <v>2</v>
      </c>
      <c r="J77" s="11">
        <v>0</v>
      </c>
      <c r="K77" s="24">
        <v>0</v>
      </c>
      <c r="L77" s="9">
        <v>300</v>
      </c>
      <c r="M77" s="8">
        <v>150</v>
      </c>
      <c r="N77" s="12" t="s">
        <v>203</v>
      </c>
      <c r="O77" s="12" t="s">
        <v>24</v>
      </c>
      <c r="P77" s="6" t="s">
        <v>19</v>
      </c>
      <c r="Q77" s="13"/>
      <c r="R77" s="25"/>
    </row>
    <row r="78" spans="1:18" ht="21" customHeight="1" x14ac:dyDescent="0.2">
      <c r="A78" s="6" t="s">
        <v>17</v>
      </c>
      <c r="B78" s="24" t="s">
        <v>200</v>
      </c>
      <c r="C78" s="6" t="s">
        <v>19</v>
      </c>
      <c r="D78" s="6" t="s">
        <v>141</v>
      </c>
      <c r="E78" s="6" t="s">
        <v>142</v>
      </c>
      <c r="F78" s="8">
        <v>51</v>
      </c>
      <c r="G78" s="9">
        <v>115495.87</v>
      </c>
      <c r="H78" s="8">
        <v>2264.6249019607844</v>
      </c>
      <c r="I78" s="10">
        <v>1</v>
      </c>
      <c r="J78" s="11">
        <v>0</v>
      </c>
      <c r="K78" s="24">
        <v>0</v>
      </c>
      <c r="L78" s="9">
        <v>1000</v>
      </c>
      <c r="M78" s="8">
        <v>1000</v>
      </c>
      <c r="N78" s="12" t="s">
        <v>203</v>
      </c>
      <c r="O78" s="12" t="s">
        <v>24</v>
      </c>
      <c r="P78" s="6" t="s">
        <v>19</v>
      </c>
      <c r="Q78" s="13"/>
      <c r="R78" s="25"/>
    </row>
    <row r="79" spans="1:18" ht="21" customHeight="1" x14ac:dyDescent="0.2">
      <c r="A79" s="6" t="s">
        <v>17</v>
      </c>
      <c r="B79" s="24" t="s">
        <v>200</v>
      </c>
      <c r="C79" s="6" t="s">
        <v>19</v>
      </c>
      <c r="D79" s="6" t="s">
        <v>133</v>
      </c>
      <c r="E79" s="6" t="s">
        <v>134</v>
      </c>
      <c r="F79" s="8">
        <v>26</v>
      </c>
      <c r="G79" s="9">
        <v>57220.44</v>
      </c>
      <c r="H79" s="8">
        <v>2200.7861538461539</v>
      </c>
      <c r="I79" s="10"/>
      <c r="J79" s="11"/>
      <c r="K79" s="24"/>
      <c r="L79" s="9"/>
      <c r="M79" s="8"/>
      <c r="N79" s="12" t="s">
        <v>203</v>
      </c>
      <c r="O79" s="12" t="s">
        <v>24</v>
      </c>
      <c r="P79" s="6" t="s">
        <v>19</v>
      </c>
      <c r="Q79" s="13"/>
      <c r="R79" s="25"/>
    </row>
    <row r="80" spans="1:18" ht="21" customHeight="1" x14ac:dyDescent="0.2">
      <c r="A80" s="6" t="s">
        <v>17</v>
      </c>
      <c r="B80" s="24" t="s">
        <v>200</v>
      </c>
      <c r="C80" s="6" t="s">
        <v>19</v>
      </c>
      <c r="D80" s="6" t="s">
        <v>171</v>
      </c>
      <c r="E80" s="6" t="s">
        <v>172</v>
      </c>
      <c r="F80" s="8">
        <v>48</v>
      </c>
      <c r="G80" s="9">
        <v>100665</v>
      </c>
      <c r="H80" s="8">
        <v>2097.1875</v>
      </c>
      <c r="I80" s="10">
        <v>2</v>
      </c>
      <c r="J80" s="11">
        <v>1</v>
      </c>
      <c r="K80" s="24">
        <v>0.5</v>
      </c>
      <c r="L80" s="9">
        <v>100</v>
      </c>
      <c r="M80" s="8">
        <v>50</v>
      </c>
      <c r="N80" s="12" t="s">
        <v>203</v>
      </c>
      <c r="O80" s="12" t="s">
        <v>24</v>
      </c>
      <c r="P80" s="6" t="s">
        <v>19</v>
      </c>
      <c r="Q80" s="13"/>
      <c r="R80" s="25"/>
    </row>
    <row r="81" spans="1:18" ht="21" customHeight="1" x14ac:dyDescent="0.2">
      <c r="A81" s="6" t="s">
        <v>17</v>
      </c>
      <c r="B81" s="24" t="s">
        <v>200</v>
      </c>
      <c r="C81" s="6" t="s">
        <v>19</v>
      </c>
      <c r="D81" s="6" t="s">
        <v>89</v>
      </c>
      <c r="E81" s="6" t="s">
        <v>90</v>
      </c>
      <c r="F81" s="8">
        <v>38</v>
      </c>
      <c r="G81" s="9">
        <v>79664</v>
      </c>
      <c r="H81" s="8">
        <v>2096.4210526315787</v>
      </c>
      <c r="I81" s="10">
        <v>1</v>
      </c>
      <c r="J81" s="11">
        <v>1</v>
      </c>
      <c r="K81" s="24">
        <v>1</v>
      </c>
      <c r="L81" s="9"/>
      <c r="M81" s="8"/>
      <c r="N81" s="12" t="s">
        <v>203</v>
      </c>
      <c r="O81" s="12" t="s">
        <v>24</v>
      </c>
      <c r="P81" s="6" t="s">
        <v>19</v>
      </c>
      <c r="Q81" s="13"/>
      <c r="R81" s="25"/>
    </row>
    <row r="82" spans="1:18" ht="21" customHeight="1" x14ac:dyDescent="0.2">
      <c r="A82" s="6" t="s">
        <v>17</v>
      </c>
      <c r="B82" s="24" t="s">
        <v>200</v>
      </c>
      <c r="C82" s="6" t="s">
        <v>19</v>
      </c>
      <c r="D82" s="6" t="s">
        <v>113</v>
      </c>
      <c r="E82" s="6" t="s">
        <v>114</v>
      </c>
      <c r="F82" s="8">
        <v>73</v>
      </c>
      <c r="G82" s="9">
        <v>151659.54999999999</v>
      </c>
      <c r="H82" s="8">
        <v>2077.5280821917809</v>
      </c>
      <c r="I82" s="10"/>
      <c r="J82" s="11"/>
      <c r="K82" s="24"/>
      <c r="L82" s="9"/>
      <c r="M82" s="8"/>
      <c r="N82" s="12" t="s">
        <v>203</v>
      </c>
      <c r="O82" s="12" t="s">
        <v>24</v>
      </c>
      <c r="P82" s="6" t="s">
        <v>19</v>
      </c>
      <c r="Q82" s="13"/>
      <c r="R82" s="25"/>
    </row>
    <row r="83" spans="1:18" ht="21" customHeight="1" x14ac:dyDescent="0.2">
      <c r="A83" s="6" t="s">
        <v>17</v>
      </c>
      <c r="B83" s="24" t="s">
        <v>200</v>
      </c>
      <c r="C83" s="6" t="s">
        <v>19</v>
      </c>
      <c r="D83" s="6" t="s">
        <v>232</v>
      </c>
      <c r="E83" s="6" t="s">
        <v>233</v>
      </c>
      <c r="F83" s="8">
        <v>10</v>
      </c>
      <c r="G83" s="9">
        <v>19879</v>
      </c>
      <c r="H83" s="8">
        <v>1987.9</v>
      </c>
      <c r="I83" s="10">
        <v>2</v>
      </c>
      <c r="J83" s="11">
        <v>1</v>
      </c>
      <c r="K83" s="24">
        <v>0.5</v>
      </c>
      <c r="L83" s="9">
        <v>5048</v>
      </c>
      <c r="M83" s="8">
        <v>2524</v>
      </c>
      <c r="N83" s="12" t="s">
        <v>203</v>
      </c>
      <c r="O83" s="12" t="s">
        <v>24</v>
      </c>
      <c r="P83" s="6" t="s">
        <v>19</v>
      </c>
      <c r="Q83" s="13"/>
      <c r="R83" s="25"/>
    </row>
    <row r="84" spans="1:18" ht="21" customHeight="1" x14ac:dyDescent="0.2">
      <c r="A84" s="6" t="s">
        <v>17</v>
      </c>
      <c r="B84" s="24" t="s">
        <v>200</v>
      </c>
      <c r="C84" s="6" t="s">
        <v>19</v>
      </c>
      <c r="D84" s="6" t="s">
        <v>153</v>
      </c>
      <c r="E84" s="6" t="s">
        <v>154</v>
      </c>
      <c r="F84" s="8">
        <v>21</v>
      </c>
      <c r="G84" s="9">
        <v>41653</v>
      </c>
      <c r="H84" s="8">
        <v>1983.4761904761904</v>
      </c>
      <c r="I84" s="10"/>
      <c r="J84" s="11"/>
      <c r="K84" s="24"/>
      <c r="L84" s="9"/>
      <c r="M84" s="8"/>
      <c r="N84" s="12" t="s">
        <v>203</v>
      </c>
      <c r="O84" s="12" t="s">
        <v>24</v>
      </c>
      <c r="P84" s="6" t="s">
        <v>19</v>
      </c>
      <c r="Q84" s="13"/>
      <c r="R84" s="25"/>
    </row>
    <row r="85" spans="1:18" ht="21" customHeight="1" x14ac:dyDescent="0.2">
      <c r="A85" s="6" t="s">
        <v>17</v>
      </c>
      <c r="B85" s="24" t="s">
        <v>200</v>
      </c>
      <c r="C85" s="6" t="s">
        <v>19</v>
      </c>
      <c r="D85" s="6" t="s">
        <v>95</v>
      </c>
      <c r="E85" s="6" t="s">
        <v>96</v>
      </c>
      <c r="F85" s="8">
        <v>117</v>
      </c>
      <c r="G85" s="9">
        <v>228771.32</v>
      </c>
      <c r="H85" s="8">
        <v>1955.3104273504275</v>
      </c>
      <c r="I85" s="10">
        <v>1</v>
      </c>
      <c r="J85" s="11">
        <v>0</v>
      </c>
      <c r="K85" s="24">
        <v>0</v>
      </c>
      <c r="L85" s="9">
        <v>200</v>
      </c>
      <c r="M85" s="8">
        <v>200</v>
      </c>
      <c r="N85" s="12" t="s">
        <v>203</v>
      </c>
      <c r="O85" s="12" t="s">
        <v>24</v>
      </c>
      <c r="P85" s="6" t="s">
        <v>19</v>
      </c>
      <c r="Q85" s="13"/>
      <c r="R85" s="25"/>
    </row>
    <row r="86" spans="1:18" ht="21" customHeight="1" x14ac:dyDescent="0.2">
      <c r="A86" s="6" t="s">
        <v>17</v>
      </c>
      <c r="B86" s="24" t="s">
        <v>200</v>
      </c>
      <c r="C86" s="6" t="s">
        <v>19</v>
      </c>
      <c r="D86" s="6" t="s">
        <v>234</v>
      </c>
      <c r="E86" s="6" t="s">
        <v>235</v>
      </c>
      <c r="F86" s="8">
        <v>14</v>
      </c>
      <c r="G86" s="9">
        <v>24863</v>
      </c>
      <c r="H86" s="8">
        <v>1775.9285714285713</v>
      </c>
      <c r="I86" s="10"/>
      <c r="J86" s="11"/>
      <c r="K86" s="24"/>
      <c r="L86" s="9"/>
      <c r="M86" s="8"/>
      <c r="N86" s="12" t="s">
        <v>203</v>
      </c>
      <c r="O86" s="12" t="s">
        <v>24</v>
      </c>
      <c r="P86" s="6" t="s">
        <v>19</v>
      </c>
      <c r="Q86" s="13"/>
      <c r="R86" s="25"/>
    </row>
    <row r="87" spans="1:18" ht="21" customHeight="1" x14ac:dyDescent="0.2">
      <c r="A87" s="6" t="s">
        <v>17</v>
      </c>
      <c r="B87" s="24" t="s">
        <v>200</v>
      </c>
      <c r="C87" s="6" t="s">
        <v>19</v>
      </c>
      <c r="D87" s="6" t="s">
        <v>177</v>
      </c>
      <c r="E87" s="6" t="s">
        <v>178</v>
      </c>
      <c r="F87" s="8">
        <v>62</v>
      </c>
      <c r="G87" s="9">
        <v>103425.00000000001</v>
      </c>
      <c r="H87" s="8">
        <v>1668.1451612903229</v>
      </c>
      <c r="I87" s="10"/>
      <c r="J87" s="11"/>
      <c r="K87" s="24"/>
      <c r="L87" s="9"/>
      <c r="M87" s="8"/>
      <c r="N87" s="12" t="s">
        <v>203</v>
      </c>
      <c r="O87" s="12" t="s">
        <v>24</v>
      </c>
      <c r="P87" s="6" t="s">
        <v>19</v>
      </c>
      <c r="Q87" s="13"/>
      <c r="R87" s="25"/>
    </row>
    <row r="88" spans="1:18" ht="21" customHeight="1" x14ac:dyDescent="0.2">
      <c r="A88" s="6" t="s">
        <v>17</v>
      </c>
      <c r="B88" s="24" t="s">
        <v>200</v>
      </c>
      <c r="C88" s="6" t="s">
        <v>19</v>
      </c>
      <c r="D88" s="6" t="s">
        <v>149</v>
      </c>
      <c r="E88" s="6" t="s">
        <v>150</v>
      </c>
      <c r="F88" s="8">
        <v>18</v>
      </c>
      <c r="G88" s="9">
        <v>28046</v>
      </c>
      <c r="H88" s="8">
        <v>1558.1111111111111</v>
      </c>
      <c r="I88" s="10"/>
      <c r="J88" s="11"/>
      <c r="K88" s="24"/>
      <c r="L88" s="9"/>
      <c r="M88" s="8"/>
      <c r="N88" s="12" t="s">
        <v>203</v>
      </c>
      <c r="O88" s="12" t="s">
        <v>24</v>
      </c>
      <c r="P88" s="6" t="s">
        <v>19</v>
      </c>
      <c r="Q88" s="13"/>
      <c r="R88" s="25"/>
    </row>
    <row r="89" spans="1:18" ht="21" customHeight="1" x14ac:dyDescent="0.2">
      <c r="A89" s="6" t="s">
        <v>17</v>
      </c>
      <c r="B89" s="24" t="s">
        <v>200</v>
      </c>
      <c r="C89" s="6" t="s">
        <v>19</v>
      </c>
      <c r="D89" s="6" t="s">
        <v>189</v>
      </c>
      <c r="E89" s="6" t="s">
        <v>190</v>
      </c>
      <c r="F89" s="8">
        <v>36</v>
      </c>
      <c r="G89" s="9">
        <v>53416</v>
      </c>
      <c r="H89" s="8">
        <v>1483.7777777777778</v>
      </c>
      <c r="I89" s="10"/>
      <c r="J89" s="11"/>
      <c r="K89" s="24"/>
      <c r="L89" s="9"/>
      <c r="M89" s="8"/>
      <c r="N89" s="12" t="s">
        <v>203</v>
      </c>
      <c r="O89" s="12" t="s">
        <v>24</v>
      </c>
      <c r="P89" s="6" t="s">
        <v>19</v>
      </c>
      <c r="Q89" s="13"/>
      <c r="R89" s="25"/>
    </row>
    <row r="90" spans="1:18" ht="21" customHeight="1" x14ac:dyDescent="0.2">
      <c r="A90" s="6" t="s">
        <v>17</v>
      </c>
      <c r="B90" s="24" t="s">
        <v>200</v>
      </c>
      <c r="C90" s="6" t="s">
        <v>19</v>
      </c>
      <c r="D90" s="6" t="s">
        <v>105</v>
      </c>
      <c r="E90" s="6" t="s">
        <v>106</v>
      </c>
      <c r="F90" s="8">
        <v>45</v>
      </c>
      <c r="G90" s="9">
        <v>61445</v>
      </c>
      <c r="H90" s="8">
        <v>1365.4444444444443</v>
      </c>
      <c r="I90" s="10"/>
      <c r="J90" s="11"/>
      <c r="K90" s="24"/>
      <c r="L90" s="9"/>
      <c r="M90" s="8"/>
      <c r="N90" s="12" t="s">
        <v>203</v>
      </c>
      <c r="O90" s="12" t="s">
        <v>24</v>
      </c>
      <c r="P90" s="6" t="s">
        <v>19</v>
      </c>
      <c r="Q90" s="13"/>
      <c r="R90" s="25"/>
    </row>
    <row r="91" spans="1:18" ht="21" customHeight="1" x14ac:dyDescent="0.2">
      <c r="A91" s="6" t="s">
        <v>17</v>
      </c>
      <c r="B91" s="24" t="s">
        <v>200</v>
      </c>
      <c r="C91" s="6" t="s">
        <v>19</v>
      </c>
      <c r="D91" s="6" t="s">
        <v>236</v>
      </c>
      <c r="E91" s="6" t="s">
        <v>237</v>
      </c>
      <c r="F91" s="8">
        <v>9</v>
      </c>
      <c r="G91" s="9">
        <v>10500</v>
      </c>
      <c r="H91" s="8">
        <v>1166.6666666666667</v>
      </c>
      <c r="I91" s="10"/>
      <c r="J91" s="11"/>
      <c r="K91" s="24"/>
      <c r="L91" s="9"/>
      <c r="M91" s="8"/>
      <c r="N91" s="12" t="s">
        <v>203</v>
      </c>
      <c r="O91" s="12" t="s">
        <v>24</v>
      </c>
      <c r="P91" s="6" t="s">
        <v>19</v>
      </c>
      <c r="Q91" s="13"/>
      <c r="R91" s="25"/>
    </row>
    <row r="92" spans="1:18" ht="21" customHeight="1" x14ac:dyDescent="0.2">
      <c r="A92" s="6" t="s">
        <v>17</v>
      </c>
      <c r="B92" s="24" t="s">
        <v>200</v>
      </c>
      <c r="C92" s="6" t="s">
        <v>19</v>
      </c>
      <c r="D92" s="6" t="s">
        <v>238</v>
      </c>
      <c r="E92" s="6" t="s">
        <v>239</v>
      </c>
      <c r="F92" s="8">
        <v>14</v>
      </c>
      <c r="G92" s="9">
        <v>16100</v>
      </c>
      <c r="H92" s="8">
        <v>1150</v>
      </c>
      <c r="I92" s="10"/>
      <c r="J92" s="11"/>
      <c r="K92" s="24"/>
      <c r="L92" s="9"/>
      <c r="M92" s="8"/>
      <c r="N92" s="12" t="s">
        <v>203</v>
      </c>
      <c r="O92" s="12" t="s">
        <v>24</v>
      </c>
      <c r="P92" s="6" t="s">
        <v>19</v>
      </c>
      <c r="Q92" s="13"/>
      <c r="R92" s="25"/>
    </row>
    <row r="93" spans="1:18" ht="21" customHeight="1" x14ac:dyDescent="0.2">
      <c r="A93" s="6" t="s">
        <v>17</v>
      </c>
      <c r="B93" s="24" t="s">
        <v>200</v>
      </c>
      <c r="C93" s="6" t="s">
        <v>19</v>
      </c>
      <c r="D93" s="6" t="s">
        <v>240</v>
      </c>
      <c r="E93" s="6" t="s">
        <v>241</v>
      </c>
      <c r="F93" s="8">
        <v>6</v>
      </c>
      <c r="G93" s="9">
        <v>6390.4</v>
      </c>
      <c r="H93" s="8">
        <v>1065.0666666666666</v>
      </c>
      <c r="I93" s="10"/>
      <c r="J93" s="11"/>
      <c r="K93" s="24"/>
      <c r="L93" s="9"/>
      <c r="M93" s="8"/>
      <c r="N93" s="12" t="s">
        <v>203</v>
      </c>
      <c r="O93" s="12" t="s">
        <v>24</v>
      </c>
      <c r="P93" s="6" t="s">
        <v>19</v>
      </c>
      <c r="Q93" s="13"/>
      <c r="R93" s="25"/>
    </row>
    <row r="94" spans="1:18" ht="21" customHeight="1" x14ac:dyDescent="0.2">
      <c r="A94" s="6" t="s">
        <v>17</v>
      </c>
      <c r="B94" s="24" t="s">
        <v>200</v>
      </c>
      <c r="C94" s="6" t="s">
        <v>19</v>
      </c>
      <c r="D94" s="6" t="s">
        <v>137</v>
      </c>
      <c r="E94" s="6" t="s">
        <v>138</v>
      </c>
      <c r="F94" s="8">
        <v>54</v>
      </c>
      <c r="G94" s="9">
        <v>57107</v>
      </c>
      <c r="H94" s="8">
        <v>1057.537037037037</v>
      </c>
      <c r="I94" s="10"/>
      <c r="J94" s="11"/>
      <c r="K94" s="24"/>
      <c r="L94" s="9"/>
      <c r="M94" s="8"/>
      <c r="N94" s="12" t="s">
        <v>203</v>
      </c>
      <c r="O94" s="12" t="s">
        <v>24</v>
      </c>
      <c r="P94" s="6" t="s">
        <v>19</v>
      </c>
      <c r="Q94" s="13"/>
      <c r="R94" s="25"/>
    </row>
    <row r="95" spans="1:18" ht="21" customHeight="1" x14ac:dyDescent="0.2">
      <c r="A95" s="6" t="s">
        <v>17</v>
      </c>
      <c r="B95" s="24" t="s">
        <v>200</v>
      </c>
      <c r="C95" s="6" t="s">
        <v>19</v>
      </c>
      <c r="D95" s="6" t="s">
        <v>121</v>
      </c>
      <c r="E95" s="6" t="s">
        <v>122</v>
      </c>
      <c r="F95" s="8">
        <v>62</v>
      </c>
      <c r="G95" s="9">
        <v>64783</v>
      </c>
      <c r="H95" s="8">
        <v>1044.8870967741937</v>
      </c>
      <c r="I95" s="10">
        <v>3</v>
      </c>
      <c r="J95" s="11">
        <v>1</v>
      </c>
      <c r="K95" s="24">
        <v>0.33333333333333331</v>
      </c>
      <c r="L95" s="9">
        <v>111</v>
      </c>
      <c r="M95" s="8">
        <v>37</v>
      </c>
      <c r="N95" s="12" t="s">
        <v>203</v>
      </c>
      <c r="O95" s="12" t="s">
        <v>24</v>
      </c>
      <c r="P95" s="6" t="s">
        <v>19</v>
      </c>
      <c r="Q95" s="13"/>
      <c r="R95" s="25"/>
    </row>
    <row r="96" spans="1:18" ht="21" customHeight="1" x14ac:dyDescent="0.2">
      <c r="A96" s="6" t="s">
        <v>17</v>
      </c>
      <c r="B96" s="24" t="s">
        <v>200</v>
      </c>
      <c r="C96" s="6" t="s">
        <v>19</v>
      </c>
      <c r="D96" s="6" t="s">
        <v>242</v>
      </c>
      <c r="E96" s="6" t="s">
        <v>243</v>
      </c>
      <c r="F96" s="8">
        <v>3</v>
      </c>
      <c r="G96" s="9">
        <v>2365</v>
      </c>
      <c r="H96" s="8">
        <v>788.33333333333337</v>
      </c>
      <c r="I96" s="10">
        <v>2</v>
      </c>
      <c r="J96" s="11">
        <v>1</v>
      </c>
      <c r="K96" s="24">
        <v>0.5</v>
      </c>
      <c r="L96" s="9">
        <v>501</v>
      </c>
      <c r="M96" s="8">
        <v>250.5</v>
      </c>
      <c r="N96" s="12" t="s">
        <v>203</v>
      </c>
      <c r="O96" s="12" t="s">
        <v>24</v>
      </c>
      <c r="P96" s="6" t="s">
        <v>19</v>
      </c>
      <c r="Q96" s="13"/>
      <c r="R96" s="25"/>
    </row>
    <row r="97" spans="1:18" ht="21" customHeight="1" x14ac:dyDescent="0.2">
      <c r="A97" s="6" t="s">
        <v>17</v>
      </c>
      <c r="B97" s="24" t="s">
        <v>200</v>
      </c>
      <c r="C97" s="6" t="s">
        <v>19</v>
      </c>
      <c r="D97" s="6" t="s">
        <v>193</v>
      </c>
      <c r="E97" s="6" t="s">
        <v>194</v>
      </c>
      <c r="F97" s="8">
        <v>9</v>
      </c>
      <c r="G97" s="9">
        <v>6766</v>
      </c>
      <c r="H97" s="8">
        <v>751.77777777777783</v>
      </c>
      <c r="I97" s="10"/>
      <c r="J97" s="11"/>
      <c r="K97" s="24"/>
      <c r="L97" s="9"/>
      <c r="M97" s="8"/>
      <c r="N97" s="12" t="s">
        <v>203</v>
      </c>
      <c r="O97" s="12" t="s">
        <v>24</v>
      </c>
      <c r="P97" s="6" t="s">
        <v>19</v>
      </c>
      <c r="Q97" s="13"/>
      <c r="R97" s="25"/>
    </row>
    <row r="98" spans="1:18" ht="21" customHeight="1" x14ac:dyDescent="0.2">
      <c r="A98" s="6" t="s">
        <v>17</v>
      </c>
      <c r="B98" s="24" t="s">
        <v>200</v>
      </c>
      <c r="C98" s="6" t="s">
        <v>19</v>
      </c>
      <c r="D98" s="6" t="s">
        <v>143</v>
      </c>
      <c r="E98" s="6" t="s">
        <v>144</v>
      </c>
      <c r="F98" s="8">
        <v>2</v>
      </c>
      <c r="G98" s="9">
        <v>1450</v>
      </c>
      <c r="H98" s="8">
        <v>725</v>
      </c>
      <c r="I98" s="10"/>
      <c r="J98" s="11"/>
      <c r="K98" s="24"/>
      <c r="L98" s="9"/>
      <c r="M98" s="8"/>
      <c r="N98" s="12" t="s">
        <v>203</v>
      </c>
      <c r="O98" s="12" t="s">
        <v>24</v>
      </c>
      <c r="P98" s="6" t="s">
        <v>19</v>
      </c>
      <c r="Q98" s="13"/>
      <c r="R98" s="25"/>
    </row>
    <row r="99" spans="1:18" ht="21" customHeight="1" x14ac:dyDescent="0.2">
      <c r="A99" s="6" t="s">
        <v>17</v>
      </c>
      <c r="B99" s="24" t="s">
        <v>200</v>
      </c>
      <c r="C99" s="6" t="s">
        <v>19</v>
      </c>
      <c r="D99" s="6" t="s">
        <v>43</v>
      </c>
      <c r="E99" s="6" t="s">
        <v>44</v>
      </c>
      <c r="F99" s="8">
        <v>23</v>
      </c>
      <c r="G99" s="9">
        <v>16610.22</v>
      </c>
      <c r="H99" s="8">
        <v>722.18347826086961</v>
      </c>
      <c r="I99" s="10"/>
      <c r="J99" s="11"/>
      <c r="K99" s="24"/>
      <c r="L99" s="9"/>
      <c r="M99" s="8"/>
      <c r="N99" s="12" t="s">
        <v>203</v>
      </c>
      <c r="O99" s="12" t="s">
        <v>24</v>
      </c>
      <c r="P99" s="6" t="s">
        <v>19</v>
      </c>
      <c r="Q99" s="13"/>
      <c r="R99" s="25"/>
    </row>
    <row r="100" spans="1:18" ht="21" customHeight="1" x14ac:dyDescent="0.2">
      <c r="A100" s="6" t="s">
        <v>17</v>
      </c>
      <c r="B100" s="24" t="s">
        <v>200</v>
      </c>
      <c r="C100" s="6" t="s">
        <v>19</v>
      </c>
      <c r="D100" s="6" t="s">
        <v>117</v>
      </c>
      <c r="E100" s="6" t="s">
        <v>118</v>
      </c>
      <c r="F100" s="8">
        <v>20</v>
      </c>
      <c r="G100" s="9">
        <v>14199</v>
      </c>
      <c r="H100" s="8">
        <v>709.95</v>
      </c>
      <c r="I100" s="10"/>
      <c r="J100" s="11"/>
      <c r="K100" s="24"/>
      <c r="L100" s="9"/>
      <c r="M100" s="8"/>
      <c r="N100" s="12" t="s">
        <v>203</v>
      </c>
      <c r="O100" s="12" t="s">
        <v>24</v>
      </c>
      <c r="P100" s="6" t="s">
        <v>19</v>
      </c>
      <c r="Q100" s="13"/>
      <c r="R100" s="25"/>
    </row>
    <row r="101" spans="1:18" ht="21" customHeight="1" x14ac:dyDescent="0.2">
      <c r="A101" s="6" t="s">
        <v>17</v>
      </c>
      <c r="B101" s="24" t="s">
        <v>200</v>
      </c>
      <c r="C101" s="6" t="s">
        <v>19</v>
      </c>
      <c r="D101" s="6" t="s">
        <v>244</v>
      </c>
      <c r="E101" s="6" t="s">
        <v>245</v>
      </c>
      <c r="F101" s="8">
        <v>3</v>
      </c>
      <c r="G101" s="9">
        <v>1943</v>
      </c>
      <c r="H101" s="8">
        <v>647.66666666666663</v>
      </c>
      <c r="I101" s="10"/>
      <c r="J101" s="11"/>
      <c r="K101" s="24"/>
      <c r="L101" s="9"/>
      <c r="M101" s="8"/>
      <c r="N101" s="12" t="s">
        <v>203</v>
      </c>
      <c r="O101" s="12" t="s">
        <v>24</v>
      </c>
      <c r="P101" s="6" t="s">
        <v>19</v>
      </c>
      <c r="Q101" s="13"/>
      <c r="R101" s="25"/>
    </row>
    <row r="102" spans="1:18" ht="21" customHeight="1" x14ac:dyDescent="0.2">
      <c r="A102" s="6" t="s">
        <v>17</v>
      </c>
      <c r="B102" s="24" t="s">
        <v>200</v>
      </c>
      <c r="C102" s="6" t="s">
        <v>19</v>
      </c>
      <c r="D102" s="6" t="s">
        <v>246</v>
      </c>
      <c r="E102" s="6" t="s">
        <v>247</v>
      </c>
      <c r="F102" s="8">
        <v>2</v>
      </c>
      <c r="G102" s="9">
        <v>1100</v>
      </c>
      <c r="H102" s="8">
        <v>550</v>
      </c>
      <c r="I102" s="10">
        <v>2</v>
      </c>
      <c r="J102" s="11">
        <v>1</v>
      </c>
      <c r="K102" s="24">
        <v>0.5</v>
      </c>
      <c r="L102" s="9">
        <v>1100</v>
      </c>
      <c r="M102" s="8">
        <v>550</v>
      </c>
      <c r="N102" s="12" t="s">
        <v>203</v>
      </c>
      <c r="O102" s="12" t="s">
        <v>24</v>
      </c>
      <c r="P102" s="6" t="s">
        <v>19</v>
      </c>
      <c r="Q102" s="13"/>
      <c r="R102" s="25"/>
    </row>
    <row r="103" spans="1:18" ht="21" customHeight="1" x14ac:dyDescent="0.2">
      <c r="A103" s="6" t="s">
        <v>17</v>
      </c>
      <c r="B103" s="24" t="s">
        <v>200</v>
      </c>
      <c r="C103" s="6" t="s">
        <v>19</v>
      </c>
      <c r="D103" s="6" t="s">
        <v>248</v>
      </c>
      <c r="E103" s="6" t="s">
        <v>249</v>
      </c>
      <c r="F103" s="8">
        <v>2</v>
      </c>
      <c r="G103" s="9">
        <v>100</v>
      </c>
      <c r="H103" s="8">
        <v>50</v>
      </c>
      <c r="I103" s="10"/>
      <c r="J103" s="11"/>
      <c r="K103" s="24"/>
      <c r="L103" s="9"/>
      <c r="M103" s="8"/>
      <c r="N103" s="12" t="s">
        <v>203</v>
      </c>
      <c r="O103" s="12" t="s">
        <v>24</v>
      </c>
      <c r="P103" s="6" t="s">
        <v>19</v>
      </c>
      <c r="Q103" s="13"/>
      <c r="R103" s="25"/>
    </row>
    <row r="104" spans="1:18" ht="21" customHeight="1" x14ac:dyDescent="0.2">
      <c r="A104" s="6" t="s">
        <v>17</v>
      </c>
      <c r="B104" s="24" t="s">
        <v>200</v>
      </c>
      <c r="C104" s="6" t="s">
        <v>19</v>
      </c>
      <c r="D104" s="6" t="s">
        <v>250</v>
      </c>
      <c r="E104" s="6" t="s">
        <v>251</v>
      </c>
      <c r="F104" s="8">
        <v>7</v>
      </c>
      <c r="G104" s="9">
        <v>55.5</v>
      </c>
      <c r="H104" s="8">
        <v>7.9285714285714288</v>
      </c>
      <c r="I104" s="10">
        <v>1</v>
      </c>
      <c r="J104" s="11">
        <v>0</v>
      </c>
      <c r="K104" s="24">
        <v>0</v>
      </c>
      <c r="L104" s="9">
        <v>55.5</v>
      </c>
      <c r="M104" s="8">
        <v>55.5</v>
      </c>
      <c r="N104" s="12" t="s">
        <v>203</v>
      </c>
      <c r="O104" s="12" t="s">
        <v>24</v>
      </c>
      <c r="P104" s="6" t="s">
        <v>19</v>
      </c>
      <c r="Q104" s="13"/>
      <c r="R104" s="25"/>
    </row>
    <row r="105" spans="1:18" ht="21" customHeight="1" x14ac:dyDescent="0.2">
      <c r="A105" s="6" t="s">
        <v>17</v>
      </c>
      <c r="B105" s="24" t="s">
        <v>200</v>
      </c>
      <c r="C105" s="6" t="s">
        <v>19</v>
      </c>
      <c r="D105" s="6" t="s">
        <v>41</v>
      </c>
      <c r="E105" s="6" t="s">
        <v>42</v>
      </c>
      <c r="F105" s="8">
        <v>17</v>
      </c>
      <c r="G105" s="9">
        <v>10.1</v>
      </c>
      <c r="H105" s="8">
        <v>0.59411764705882353</v>
      </c>
      <c r="I105" s="10"/>
      <c r="J105" s="11"/>
      <c r="K105" s="24"/>
      <c r="L105" s="9"/>
      <c r="M105" s="8"/>
      <c r="N105" s="12" t="s">
        <v>203</v>
      </c>
      <c r="O105" s="12" t="s">
        <v>24</v>
      </c>
      <c r="P105" s="6" t="s">
        <v>19</v>
      </c>
      <c r="Q105" s="13"/>
      <c r="R105" s="25"/>
    </row>
    <row r="106" spans="1:18" ht="21" customHeight="1" x14ac:dyDescent="0.2">
      <c r="A106" s="6" t="s">
        <v>17</v>
      </c>
      <c r="B106" s="24" t="s">
        <v>200</v>
      </c>
      <c r="C106" s="6" t="s">
        <v>19</v>
      </c>
      <c r="D106" s="6" t="s">
        <v>195</v>
      </c>
      <c r="E106" s="6" t="s">
        <v>196</v>
      </c>
      <c r="F106" s="8">
        <v>5</v>
      </c>
      <c r="G106" s="9"/>
      <c r="H106" s="8"/>
      <c r="I106" s="10"/>
      <c r="J106" s="11"/>
      <c r="K106" s="24"/>
      <c r="L106" s="9"/>
      <c r="M106" s="8"/>
      <c r="N106" s="12" t="s">
        <v>203</v>
      </c>
      <c r="O106" s="12" t="s">
        <v>24</v>
      </c>
      <c r="P106" s="6" t="s">
        <v>19</v>
      </c>
      <c r="Q106" s="13"/>
      <c r="R106" s="25"/>
    </row>
    <row r="107" spans="1:18" ht="21" customHeight="1" x14ac:dyDescent="0.2">
      <c r="A107" s="6" t="s">
        <v>17</v>
      </c>
      <c r="B107" s="24" t="s">
        <v>200</v>
      </c>
      <c r="C107" s="6" t="s">
        <v>19</v>
      </c>
      <c r="D107" s="6" t="s">
        <v>252</v>
      </c>
      <c r="E107" s="6" t="s">
        <v>253</v>
      </c>
      <c r="F107" s="8">
        <v>1</v>
      </c>
      <c r="G107" s="9"/>
      <c r="H107" s="8"/>
      <c r="I107" s="10"/>
      <c r="J107" s="11"/>
      <c r="K107" s="24"/>
      <c r="L107" s="9"/>
      <c r="M107" s="8"/>
      <c r="N107" s="12" t="s">
        <v>203</v>
      </c>
      <c r="O107" s="12" t="s">
        <v>24</v>
      </c>
      <c r="P107" s="6" t="s">
        <v>19</v>
      </c>
      <c r="Q107" s="13"/>
      <c r="R107" s="25"/>
    </row>
    <row r="108" spans="1:18" ht="21" customHeight="1" x14ac:dyDescent="0.2">
      <c r="A108" s="6" t="s">
        <v>17</v>
      </c>
      <c r="B108" s="24" t="s">
        <v>200</v>
      </c>
      <c r="C108" s="6" t="s">
        <v>19</v>
      </c>
      <c r="D108" s="6" t="s">
        <v>254</v>
      </c>
      <c r="E108" s="6" t="s">
        <v>255</v>
      </c>
      <c r="F108" s="8">
        <v>5</v>
      </c>
      <c r="G108" s="9"/>
      <c r="H108" s="8"/>
      <c r="I108" s="10"/>
      <c r="J108" s="11"/>
      <c r="K108" s="24"/>
      <c r="L108" s="9"/>
      <c r="M108" s="8"/>
      <c r="N108" s="12" t="s">
        <v>203</v>
      </c>
      <c r="O108" s="12" t="s">
        <v>24</v>
      </c>
      <c r="P108" s="6" t="s">
        <v>19</v>
      </c>
      <c r="Q108" s="13"/>
      <c r="R108" s="25"/>
    </row>
    <row r="109" spans="1:18" ht="21" customHeight="1" x14ac:dyDescent="0.2">
      <c r="A109" s="6" t="s">
        <v>17</v>
      </c>
      <c r="B109" s="24" t="s">
        <v>200</v>
      </c>
      <c r="C109" s="6" t="s">
        <v>19</v>
      </c>
      <c r="D109" s="6" t="s">
        <v>256</v>
      </c>
      <c r="E109" s="6" t="s">
        <v>257</v>
      </c>
      <c r="F109" s="8">
        <v>3</v>
      </c>
      <c r="G109" s="9"/>
      <c r="H109" s="8"/>
      <c r="I109" s="10"/>
      <c r="J109" s="11"/>
      <c r="K109" s="24"/>
      <c r="L109" s="9"/>
      <c r="M109" s="8"/>
      <c r="N109" s="12" t="s">
        <v>203</v>
      </c>
      <c r="O109" s="12" t="s">
        <v>24</v>
      </c>
      <c r="P109" s="6" t="s">
        <v>19</v>
      </c>
      <c r="Q109" s="13"/>
      <c r="R109" s="25"/>
    </row>
    <row r="110" spans="1:18" ht="21" customHeight="1" x14ac:dyDescent="0.2">
      <c r="A110" s="6" t="s">
        <v>17</v>
      </c>
      <c r="B110" s="24" t="s">
        <v>200</v>
      </c>
      <c r="C110" s="6" t="s">
        <v>19</v>
      </c>
      <c r="D110" s="6" t="s">
        <v>258</v>
      </c>
      <c r="E110" s="6" t="s">
        <v>259</v>
      </c>
      <c r="F110" s="8">
        <v>1</v>
      </c>
      <c r="G110" s="9"/>
      <c r="H110" s="8"/>
      <c r="I110" s="10"/>
      <c r="J110" s="11"/>
      <c r="K110" s="24"/>
      <c r="L110" s="9"/>
      <c r="M110" s="8"/>
      <c r="N110" s="12" t="s">
        <v>203</v>
      </c>
      <c r="O110" s="12" t="s">
        <v>24</v>
      </c>
      <c r="P110" s="6" t="s">
        <v>19</v>
      </c>
      <c r="Q110" s="13"/>
      <c r="R110" s="25"/>
    </row>
    <row r="111" spans="1:18" ht="21" customHeight="1" x14ac:dyDescent="0.2">
      <c r="A111" s="6" t="s">
        <v>17</v>
      </c>
      <c r="B111" s="24" t="s">
        <v>200</v>
      </c>
      <c r="C111" s="6" t="s">
        <v>19</v>
      </c>
      <c r="D111" s="6" t="s">
        <v>155</v>
      </c>
      <c r="E111" s="6" t="s">
        <v>156</v>
      </c>
      <c r="F111" s="8">
        <v>2</v>
      </c>
      <c r="G111" s="9"/>
      <c r="H111" s="8"/>
      <c r="I111" s="10"/>
      <c r="J111" s="11"/>
      <c r="K111" s="24"/>
      <c r="L111" s="9"/>
      <c r="M111" s="8"/>
      <c r="N111" s="12" t="s">
        <v>203</v>
      </c>
      <c r="O111" s="12" t="s">
        <v>24</v>
      </c>
      <c r="P111" s="6" t="s">
        <v>19</v>
      </c>
      <c r="Q111" s="13"/>
      <c r="R111" s="25"/>
    </row>
    <row r="112" spans="1:18" ht="21" customHeight="1" x14ac:dyDescent="0.2">
      <c r="A112" s="6" t="s">
        <v>17</v>
      </c>
      <c r="B112" s="24" t="s">
        <v>200</v>
      </c>
      <c r="C112" s="6" t="s">
        <v>19</v>
      </c>
      <c r="D112" s="6" t="s">
        <v>260</v>
      </c>
      <c r="E112" s="6" t="s">
        <v>261</v>
      </c>
      <c r="F112" s="8">
        <v>4</v>
      </c>
      <c r="G112" s="9"/>
      <c r="H112" s="8"/>
      <c r="I112" s="10"/>
      <c r="J112" s="11"/>
      <c r="K112" s="24"/>
      <c r="L112" s="9"/>
      <c r="M112" s="8"/>
      <c r="N112" s="12" t="s">
        <v>203</v>
      </c>
      <c r="O112" s="12" t="s">
        <v>24</v>
      </c>
      <c r="P112" s="6" t="s">
        <v>19</v>
      </c>
      <c r="Q112" s="13"/>
      <c r="R112" s="25"/>
    </row>
    <row r="113" spans="1:18" ht="21" customHeight="1" x14ac:dyDescent="0.2">
      <c r="A113" s="6" t="s">
        <v>17</v>
      </c>
      <c r="B113" s="24" t="s">
        <v>200</v>
      </c>
      <c r="C113" s="6" t="s">
        <v>19</v>
      </c>
      <c r="D113" s="6" t="s">
        <v>262</v>
      </c>
      <c r="E113" s="6" t="s">
        <v>263</v>
      </c>
      <c r="F113" s="8">
        <v>7</v>
      </c>
      <c r="G113" s="9"/>
      <c r="H113" s="8"/>
      <c r="I113" s="10"/>
      <c r="J113" s="11"/>
      <c r="K113" s="24"/>
      <c r="L113" s="9"/>
      <c r="M113" s="8"/>
      <c r="N113" s="12" t="s">
        <v>203</v>
      </c>
      <c r="O113" s="12" t="s">
        <v>24</v>
      </c>
      <c r="P113" s="6" t="s">
        <v>19</v>
      </c>
      <c r="Q113" s="13"/>
      <c r="R113" s="25"/>
    </row>
    <row r="114" spans="1:18" ht="21" customHeight="1" x14ac:dyDescent="0.2">
      <c r="A114" s="6" t="s">
        <v>17</v>
      </c>
      <c r="B114" s="24" t="s">
        <v>200</v>
      </c>
      <c r="C114" s="6" t="s">
        <v>19</v>
      </c>
      <c r="D114" s="6" t="s">
        <v>264</v>
      </c>
      <c r="E114" s="6" t="s">
        <v>265</v>
      </c>
      <c r="F114" s="8">
        <v>2</v>
      </c>
      <c r="G114" s="9"/>
      <c r="H114" s="8"/>
      <c r="I114" s="10"/>
      <c r="J114" s="11"/>
      <c r="K114" s="24"/>
      <c r="L114" s="9"/>
      <c r="M114" s="8"/>
      <c r="N114" s="12" t="s">
        <v>203</v>
      </c>
      <c r="O114" s="12" t="s">
        <v>24</v>
      </c>
      <c r="P114" s="6" t="s">
        <v>19</v>
      </c>
      <c r="Q114" s="13"/>
      <c r="R114" s="25"/>
    </row>
    <row r="115" spans="1:18" ht="21" customHeight="1" x14ac:dyDescent="0.2">
      <c r="A115" s="6" t="s">
        <v>17</v>
      </c>
      <c r="B115" s="24" t="s">
        <v>200</v>
      </c>
      <c r="C115" s="6" t="s">
        <v>19</v>
      </c>
      <c r="D115" s="6" t="s">
        <v>266</v>
      </c>
      <c r="E115" s="6" t="s">
        <v>267</v>
      </c>
      <c r="F115" s="8">
        <v>4</v>
      </c>
      <c r="G115" s="9"/>
      <c r="H115" s="8"/>
      <c r="I115" s="10"/>
      <c r="J115" s="11"/>
      <c r="K115" s="24"/>
      <c r="L115" s="9"/>
      <c r="M115" s="8"/>
      <c r="N115" s="12" t="s">
        <v>203</v>
      </c>
      <c r="O115" s="12" t="s">
        <v>24</v>
      </c>
      <c r="P115" s="6" t="s">
        <v>19</v>
      </c>
      <c r="Q115" s="13"/>
      <c r="R115" s="25"/>
    </row>
    <row r="116" spans="1:18" ht="21" customHeight="1" x14ac:dyDescent="0.2">
      <c r="A116" s="6" t="s">
        <v>17</v>
      </c>
      <c r="B116" s="24" t="s">
        <v>200</v>
      </c>
      <c r="C116" s="6" t="s">
        <v>19</v>
      </c>
      <c r="D116" s="6" t="s">
        <v>268</v>
      </c>
      <c r="E116" s="6" t="s">
        <v>269</v>
      </c>
      <c r="F116" s="8">
        <v>2</v>
      </c>
      <c r="G116" s="9"/>
      <c r="H116" s="8"/>
      <c r="I116" s="10"/>
      <c r="J116" s="11"/>
      <c r="K116" s="24"/>
      <c r="L116" s="9"/>
      <c r="M116" s="8"/>
      <c r="N116" s="12" t="s">
        <v>203</v>
      </c>
      <c r="O116" s="12" t="s">
        <v>24</v>
      </c>
      <c r="P116" s="6" t="s">
        <v>19</v>
      </c>
      <c r="Q116" s="13"/>
      <c r="R116" s="25"/>
    </row>
    <row r="117" spans="1:18" ht="21" customHeight="1" x14ac:dyDescent="0.2">
      <c r="A117" s="6" t="s">
        <v>17</v>
      </c>
      <c r="B117" s="24" t="s">
        <v>200</v>
      </c>
      <c r="C117" s="6" t="s">
        <v>19</v>
      </c>
      <c r="D117" s="6" t="s">
        <v>270</v>
      </c>
      <c r="E117" s="6" t="s">
        <v>271</v>
      </c>
      <c r="F117" s="8">
        <v>3</v>
      </c>
      <c r="G117" s="9"/>
      <c r="H117" s="8"/>
      <c r="I117" s="10"/>
      <c r="J117" s="11"/>
      <c r="K117" s="24"/>
      <c r="L117" s="9"/>
      <c r="M117" s="8"/>
      <c r="N117" s="12" t="s">
        <v>203</v>
      </c>
      <c r="O117" s="12" t="s">
        <v>24</v>
      </c>
      <c r="P117" s="6" t="s">
        <v>19</v>
      </c>
      <c r="Q117" s="13"/>
      <c r="R117" s="25"/>
    </row>
    <row r="118" spans="1:18" ht="21" customHeight="1" x14ac:dyDescent="0.2">
      <c r="A118" s="6" t="s">
        <v>17</v>
      </c>
      <c r="B118" s="24" t="s">
        <v>200</v>
      </c>
      <c r="C118" s="6" t="s">
        <v>19</v>
      </c>
      <c r="D118" s="6" t="s">
        <v>272</v>
      </c>
      <c r="E118" s="6" t="s">
        <v>273</v>
      </c>
      <c r="F118" s="8">
        <v>1</v>
      </c>
      <c r="G118" s="9"/>
      <c r="H118" s="8"/>
      <c r="I118" s="10"/>
      <c r="J118" s="11"/>
      <c r="K118" s="24"/>
      <c r="L118" s="9"/>
      <c r="M118" s="8"/>
      <c r="N118" s="12" t="s">
        <v>203</v>
      </c>
      <c r="O118" s="12" t="s">
        <v>24</v>
      </c>
      <c r="P118" s="6" t="s">
        <v>19</v>
      </c>
      <c r="Q118" s="13"/>
      <c r="R118" s="25"/>
    </row>
    <row r="119" spans="1:18" ht="21" customHeight="1" x14ac:dyDescent="0.2">
      <c r="A119" s="6" t="s">
        <v>17</v>
      </c>
      <c r="B119" s="24" t="s">
        <v>200</v>
      </c>
      <c r="C119" s="6" t="s">
        <v>19</v>
      </c>
      <c r="D119" s="6" t="s">
        <v>197</v>
      </c>
      <c r="E119" s="6" t="s">
        <v>198</v>
      </c>
      <c r="F119" s="8">
        <v>1</v>
      </c>
      <c r="G119" s="9"/>
      <c r="H119" s="8"/>
      <c r="I119" s="10"/>
      <c r="J119" s="11"/>
      <c r="K119" s="24"/>
      <c r="L119" s="9"/>
      <c r="M119" s="8"/>
      <c r="N119" s="12" t="s">
        <v>203</v>
      </c>
      <c r="O119" s="12" t="s">
        <v>24</v>
      </c>
      <c r="P119" s="6" t="s">
        <v>19</v>
      </c>
      <c r="Q119" s="13"/>
      <c r="R119" s="25"/>
    </row>
  </sheetData>
  <mergeCells count="1">
    <mergeCell ref="A2:E2"/>
  </mergeCells>
  <phoneticPr fontId="3" type="noConversion"/>
  <conditionalFormatting sqref="L3:L119 G3:G119">
    <cfRule type="expression" dxfId="29" priority="5">
      <formula>G3&lt;10000</formula>
    </cfRule>
    <cfRule type="expression" dxfId="28" priority="6">
      <formula>G3&gt;99999999</formula>
    </cfRule>
    <cfRule type="expression" dxfId="27" priority="7">
      <formula>100000000&gt;G3&gt;9999</formula>
    </cfRule>
    <cfRule type="expression" dxfId="26" priority="8">
      <formula>G3&lt;10000</formula>
    </cfRule>
    <cfRule type="expression" dxfId="25" priority="9">
      <formula>G3&gt;99999999</formula>
    </cfRule>
    <cfRule type="expression" dxfId="24" priority="10">
      <formula>100000000&gt;G3&gt;9999</formula>
    </cfRule>
  </conditionalFormatting>
  <conditionalFormatting sqref="G2">
    <cfRule type="expression" dxfId="23" priority="3">
      <formula>G2&gt;99999999</formula>
    </cfRule>
    <cfRule type="expression" dxfId="22" priority="4">
      <formula>100000000&gt;G2&gt;9999</formula>
    </cfRule>
  </conditionalFormatting>
  <conditionalFormatting sqref="L2">
    <cfRule type="expression" dxfId="21" priority="1">
      <formula>L2&gt;99999999</formula>
    </cfRule>
    <cfRule type="expression" dxfId="20" priority="2">
      <formula>100000000&gt;L2&gt;9999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3F8B-E249-4817-B676-A5073EFBD301}">
  <sheetPr codeName="Sheet3">
    <tabColor rgb="FFFF0000"/>
  </sheetPr>
  <dimension ref="A1:R123"/>
  <sheetViews>
    <sheetView workbookViewId="0">
      <pane xSplit="3" ySplit="2" topLeftCell="D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1" bestFit="1" customWidth="1"/>
    <col min="3" max="3" width="13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2.25" bestFit="1" customWidth="1"/>
    <col min="15" max="15" width="5.25" bestFit="1" customWidth="1"/>
    <col min="16" max="16" width="13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4</v>
      </c>
      <c r="E1" s="1" t="s">
        <v>5</v>
      </c>
      <c r="F1" s="3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23" t="s">
        <v>11</v>
      </c>
      <c r="L1" s="1" t="s">
        <v>12</v>
      </c>
      <c r="M1" s="4" t="s">
        <v>13</v>
      </c>
      <c r="N1" s="1" t="s">
        <v>14</v>
      </c>
      <c r="O1" s="23" t="s">
        <v>15</v>
      </c>
      <c r="P1" s="23" t="s">
        <v>16</v>
      </c>
      <c r="Q1" s="5"/>
      <c r="R1" s="5"/>
    </row>
    <row r="2" spans="1:18" s="22" customFormat="1" ht="24.95" customHeight="1" x14ac:dyDescent="0.2">
      <c r="A2" s="15" t="s">
        <v>199</v>
      </c>
      <c r="B2" s="16"/>
      <c r="C2" s="16"/>
      <c r="D2" s="16"/>
      <c r="E2" s="17"/>
      <c r="F2" s="18">
        <f>SUBTOTAL(9,F3:F1048576)</f>
        <v>10406</v>
      </c>
      <c r="G2" s="19">
        <f>SUBTOTAL(9,G3:G1048576)</f>
        <v>38378526.13000001</v>
      </c>
      <c r="H2" s="18">
        <f>G2/F2</f>
        <v>3688.1151383817037</v>
      </c>
      <c r="I2" s="18">
        <f t="shared" ref="I2:J2" si="0">SUBTOTAL(9,I3:I1048576)</f>
        <v>3</v>
      </c>
      <c r="J2" s="18">
        <f t="shared" si="0"/>
        <v>0</v>
      </c>
      <c r="K2" s="20">
        <f>IFERROR(J2/I2,)</f>
        <v>0</v>
      </c>
      <c r="L2" s="19">
        <f>SUBTOTAL(9,L3:L1048576)</f>
        <v>27011.889999999996</v>
      </c>
      <c r="M2" s="18">
        <f>IFERROR(L2/I2,)</f>
        <v>9003.9633333333313</v>
      </c>
      <c r="N2" s="21"/>
      <c r="O2" s="21"/>
      <c r="P2" s="21"/>
    </row>
    <row r="3" spans="1:18" ht="21" customHeight="1" x14ac:dyDescent="0.2">
      <c r="A3" s="6" t="s">
        <v>17</v>
      </c>
      <c r="B3" s="24" t="s">
        <v>274</v>
      </c>
      <c r="C3" s="6" t="s">
        <v>19</v>
      </c>
      <c r="D3" s="6" t="s">
        <v>275</v>
      </c>
      <c r="E3" s="6" t="s">
        <v>276</v>
      </c>
      <c r="F3" s="8">
        <v>2</v>
      </c>
      <c r="G3" s="26">
        <v>117499.2</v>
      </c>
      <c r="H3" s="8">
        <v>58749.599999999999</v>
      </c>
      <c r="I3" s="27"/>
      <c r="J3" s="11"/>
      <c r="K3" s="24"/>
      <c r="L3" s="9"/>
      <c r="M3" s="8"/>
      <c r="N3" s="24" t="s">
        <v>277</v>
      </c>
      <c r="O3" s="24" t="s">
        <v>24</v>
      </c>
      <c r="P3" s="6" t="s">
        <v>19</v>
      </c>
    </row>
    <row r="4" spans="1:18" ht="21" customHeight="1" x14ac:dyDescent="0.2">
      <c r="A4" s="6" t="s">
        <v>17</v>
      </c>
      <c r="B4" s="24" t="s">
        <v>274</v>
      </c>
      <c r="C4" s="6" t="s">
        <v>19</v>
      </c>
      <c r="D4" s="6" t="s">
        <v>278</v>
      </c>
      <c r="E4" s="6" t="s">
        <v>279</v>
      </c>
      <c r="F4" s="8">
        <v>3</v>
      </c>
      <c r="G4" s="26">
        <v>35500</v>
      </c>
      <c r="H4" s="8">
        <v>11833.333333333334</v>
      </c>
      <c r="I4" s="27"/>
      <c r="J4" s="11"/>
      <c r="K4" s="24"/>
      <c r="L4" s="9"/>
      <c r="M4" s="8"/>
      <c r="N4" s="24" t="s">
        <v>277</v>
      </c>
      <c r="O4" s="24" t="s">
        <v>24</v>
      </c>
      <c r="P4" s="6" t="s">
        <v>19</v>
      </c>
    </row>
    <row r="5" spans="1:18" ht="21" customHeight="1" x14ac:dyDescent="0.2">
      <c r="A5" s="6" t="s">
        <v>17</v>
      </c>
      <c r="B5" s="24" t="s">
        <v>274</v>
      </c>
      <c r="C5" s="6" t="s">
        <v>19</v>
      </c>
      <c r="D5" s="6" t="s">
        <v>280</v>
      </c>
      <c r="E5" s="6" t="s">
        <v>281</v>
      </c>
      <c r="F5" s="8">
        <v>1</v>
      </c>
      <c r="G5" s="26">
        <v>11700</v>
      </c>
      <c r="H5" s="8">
        <v>11700</v>
      </c>
      <c r="I5" s="27"/>
      <c r="J5" s="11"/>
      <c r="K5" s="24"/>
      <c r="L5" s="9"/>
      <c r="M5" s="8"/>
      <c r="N5" s="24" t="s">
        <v>277</v>
      </c>
      <c r="O5" s="24" t="s">
        <v>24</v>
      </c>
      <c r="P5" s="6" t="s">
        <v>19</v>
      </c>
    </row>
    <row r="6" spans="1:18" ht="21" customHeight="1" x14ac:dyDescent="0.2">
      <c r="A6" s="6" t="s">
        <v>17</v>
      </c>
      <c r="B6" s="24" t="s">
        <v>274</v>
      </c>
      <c r="C6" s="6" t="s">
        <v>19</v>
      </c>
      <c r="D6" s="6" t="s">
        <v>260</v>
      </c>
      <c r="E6" s="6" t="s">
        <v>261</v>
      </c>
      <c r="F6" s="8">
        <v>7</v>
      </c>
      <c r="G6" s="26">
        <v>73709</v>
      </c>
      <c r="H6" s="8">
        <v>10529.857142857143</v>
      </c>
      <c r="I6" s="27"/>
      <c r="J6" s="11"/>
      <c r="K6" s="24"/>
      <c r="L6" s="9"/>
      <c r="M6" s="8"/>
      <c r="N6" s="24" t="s">
        <v>277</v>
      </c>
      <c r="O6" s="24" t="s">
        <v>24</v>
      </c>
      <c r="P6" s="6" t="s">
        <v>19</v>
      </c>
    </row>
    <row r="7" spans="1:18" ht="21" customHeight="1" x14ac:dyDescent="0.2">
      <c r="A7" s="6" t="s">
        <v>17</v>
      </c>
      <c r="B7" s="24" t="s">
        <v>274</v>
      </c>
      <c r="C7" s="6" t="s">
        <v>19</v>
      </c>
      <c r="D7" s="6" t="s">
        <v>282</v>
      </c>
      <c r="E7" s="6" t="s">
        <v>283</v>
      </c>
      <c r="F7" s="8">
        <v>27</v>
      </c>
      <c r="G7" s="26">
        <v>280695</v>
      </c>
      <c r="H7" s="8">
        <v>10396.111111111111</v>
      </c>
      <c r="I7" s="27"/>
      <c r="J7" s="11"/>
      <c r="K7" s="24"/>
      <c r="L7" s="9"/>
      <c r="M7" s="8"/>
      <c r="N7" s="24" t="s">
        <v>277</v>
      </c>
      <c r="O7" s="24" t="s">
        <v>24</v>
      </c>
      <c r="P7" s="6" t="s">
        <v>19</v>
      </c>
    </row>
    <row r="8" spans="1:18" ht="21" customHeight="1" x14ac:dyDescent="0.2">
      <c r="A8" s="6" t="s">
        <v>17</v>
      </c>
      <c r="B8" s="24" t="s">
        <v>274</v>
      </c>
      <c r="C8" s="6" t="s">
        <v>19</v>
      </c>
      <c r="D8" s="6" t="s">
        <v>284</v>
      </c>
      <c r="E8" s="6" t="s">
        <v>285</v>
      </c>
      <c r="F8" s="8">
        <v>12</v>
      </c>
      <c r="G8" s="26">
        <v>94900</v>
      </c>
      <c r="H8" s="8">
        <v>7908.333333333333</v>
      </c>
      <c r="I8" s="27"/>
      <c r="J8" s="11"/>
      <c r="K8" s="24"/>
      <c r="L8" s="9"/>
      <c r="M8" s="8"/>
      <c r="N8" s="24" t="s">
        <v>277</v>
      </c>
      <c r="O8" s="24" t="s">
        <v>24</v>
      </c>
      <c r="P8" s="6" t="s">
        <v>19</v>
      </c>
    </row>
    <row r="9" spans="1:18" ht="21" customHeight="1" x14ac:dyDescent="0.2">
      <c r="A9" s="6" t="s">
        <v>17</v>
      </c>
      <c r="B9" s="24" t="s">
        <v>274</v>
      </c>
      <c r="C9" s="6" t="s">
        <v>19</v>
      </c>
      <c r="D9" s="6" t="s">
        <v>252</v>
      </c>
      <c r="E9" s="6" t="s">
        <v>253</v>
      </c>
      <c r="F9" s="8">
        <v>3</v>
      </c>
      <c r="G9" s="26">
        <v>22481</v>
      </c>
      <c r="H9" s="8">
        <v>7493.666666666667</v>
      </c>
      <c r="I9" s="27"/>
      <c r="J9" s="11"/>
      <c r="K9" s="24"/>
      <c r="L9" s="9"/>
      <c r="M9" s="8"/>
      <c r="N9" s="24" t="s">
        <v>277</v>
      </c>
      <c r="O9" s="24" t="s">
        <v>24</v>
      </c>
      <c r="P9" s="6" t="s">
        <v>19</v>
      </c>
    </row>
    <row r="10" spans="1:18" ht="21" customHeight="1" x14ac:dyDescent="0.2">
      <c r="A10" s="6" t="s">
        <v>17</v>
      </c>
      <c r="B10" s="24" t="s">
        <v>274</v>
      </c>
      <c r="C10" s="6" t="s">
        <v>19</v>
      </c>
      <c r="D10" s="6" t="s">
        <v>197</v>
      </c>
      <c r="E10" s="6" t="s">
        <v>198</v>
      </c>
      <c r="F10" s="8">
        <v>104</v>
      </c>
      <c r="G10" s="26">
        <v>755293.25000000012</v>
      </c>
      <c r="H10" s="8">
        <v>7262.4350961538476</v>
      </c>
      <c r="I10" s="27">
        <v>1</v>
      </c>
      <c r="J10" s="11">
        <v>0</v>
      </c>
      <c r="K10" s="24">
        <v>0</v>
      </c>
      <c r="L10" s="9">
        <v>21511.879999999997</v>
      </c>
      <c r="M10" s="8">
        <v>21511.879999999997</v>
      </c>
      <c r="N10" s="24" t="s">
        <v>277</v>
      </c>
      <c r="O10" s="24" t="s">
        <v>24</v>
      </c>
      <c r="P10" s="6" t="s">
        <v>19</v>
      </c>
    </row>
    <row r="11" spans="1:18" ht="21" customHeight="1" x14ac:dyDescent="0.2">
      <c r="A11" s="6" t="s">
        <v>17</v>
      </c>
      <c r="B11" s="24" t="s">
        <v>274</v>
      </c>
      <c r="C11" s="6" t="s">
        <v>19</v>
      </c>
      <c r="D11" s="6" t="s">
        <v>286</v>
      </c>
      <c r="E11" s="6" t="s">
        <v>287</v>
      </c>
      <c r="F11" s="8">
        <v>2</v>
      </c>
      <c r="G11" s="26">
        <v>14329</v>
      </c>
      <c r="H11" s="8">
        <v>7164.5</v>
      </c>
      <c r="I11" s="27"/>
      <c r="J11" s="11"/>
      <c r="K11" s="24"/>
      <c r="L11" s="9"/>
      <c r="M11" s="8"/>
      <c r="N11" s="24" t="s">
        <v>277</v>
      </c>
      <c r="O11" s="24" t="s">
        <v>24</v>
      </c>
      <c r="P11" s="6" t="s">
        <v>19</v>
      </c>
    </row>
    <row r="12" spans="1:18" ht="21" customHeight="1" x14ac:dyDescent="0.2">
      <c r="A12" s="6" t="s">
        <v>17</v>
      </c>
      <c r="B12" s="24" t="s">
        <v>274</v>
      </c>
      <c r="C12" s="6" t="s">
        <v>19</v>
      </c>
      <c r="D12" s="6" t="s">
        <v>43</v>
      </c>
      <c r="E12" s="6" t="s">
        <v>44</v>
      </c>
      <c r="F12" s="8">
        <v>136</v>
      </c>
      <c r="G12" s="26">
        <v>902883.74</v>
      </c>
      <c r="H12" s="8">
        <v>6638.851029411765</v>
      </c>
      <c r="I12" s="27">
        <v>1</v>
      </c>
      <c r="J12" s="11">
        <v>0</v>
      </c>
      <c r="K12" s="24">
        <v>0</v>
      </c>
      <c r="L12" s="9">
        <v>0.01</v>
      </c>
      <c r="M12" s="8">
        <v>0.01</v>
      </c>
      <c r="N12" s="24" t="s">
        <v>277</v>
      </c>
      <c r="O12" s="24" t="s">
        <v>24</v>
      </c>
      <c r="P12" s="6" t="s">
        <v>19</v>
      </c>
    </row>
    <row r="13" spans="1:18" ht="21" customHeight="1" x14ac:dyDescent="0.2">
      <c r="A13" s="6" t="s">
        <v>17</v>
      </c>
      <c r="B13" s="24" t="s">
        <v>274</v>
      </c>
      <c r="C13" s="6" t="s">
        <v>19</v>
      </c>
      <c r="D13" s="6" t="s">
        <v>266</v>
      </c>
      <c r="E13" s="6" t="s">
        <v>267</v>
      </c>
      <c r="F13" s="8">
        <v>26</v>
      </c>
      <c r="G13" s="26">
        <v>161622.71</v>
      </c>
      <c r="H13" s="8">
        <v>6216.2580769230763</v>
      </c>
      <c r="I13" s="27"/>
      <c r="J13" s="11"/>
      <c r="K13" s="24"/>
      <c r="L13" s="9"/>
      <c r="M13" s="8"/>
      <c r="N13" s="24" t="s">
        <v>277</v>
      </c>
      <c r="O13" s="24" t="s">
        <v>24</v>
      </c>
      <c r="P13" s="6" t="s">
        <v>19</v>
      </c>
    </row>
    <row r="14" spans="1:18" ht="21" customHeight="1" x14ac:dyDescent="0.2">
      <c r="A14" s="6" t="s">
        <v>17</v>
      </c>
      <c r="B14" s="24" t="s">
        <v>274</v>
      </c>
      <c r="C14" s="6" t="s">
        <v>19</v>
      </c>
      <c r="D14" s="6" t="s">
        <v>133</v>
      </c>
      <c r="E14" s="6" t="s">
        <v>134</v>
      </c>
      <c r="F14" s="8">
        <v>114</v>
      </c>
      <c r="G14" s="26">
        <v>697531.58</v>
      </c>
      <c r="H14" s="8">
        <v>6118.6980701754383</v>
      </c>
      <c r="I14" s="27"/>
      <c r="J14" s="11"/>
      <c r="K14" s="24"/>
      <c r="L14" s="9"/>
      <c r="M14" s="8"/>
      <c r="N14" s="24" t="s">
        <v>277</v>
      </c>
      <c r="O14" s="24" t="s">
        <v>24</v>
      </c>
      <c r="P14" s="6" t="s">
        <v>19</v>
      </c>
    </row>
    <row r="15" spans="1:18" ht="21" customHeight="1" x14ac:dyDescent="0.2">
      <c r="A15" s="6" t="s">
        <v>17</v>
      </c>
      <c r="B15" s="24" t="s">
        <v>274</v>
      </c>
      <c r="C15" s="6" t="s">
        <v>19</v>
      </c>
      <c r="D15" s="6" t="s">
        <v>236</v>
      </c>
      <c r="E15" s="6" t="s">
        <v>237</v>
      </c>
      <c r="F15" s="8">
        <v>20</v>
      </c>
      <c r="G15" s="26">
        <v>118597.75</v>
      </c>
      <c r="H15" s="8">
        <v>5929.8874999999998</v>
      </c>
      <c r="I15" s="27"/>
      <c r="J15" s="11"/>
      <c r="K15" s="24"/>
      <c r="L15" s="9"/>
      <c r="M15" s="8"/>
      <c r="N15" s="24" t="s">
        <v>277</v>
      </c>
      <c r="O15" s="24" t="s">
        <v>24</v>
      </c>
      <c r="P15" s="6" t="s">
        <v>19</v>
      </c>
    </row>
    <row r="16" spans="1:18" ht="21" customHeight="1" x14ac:dyDescent="0.2">
      <c r="A16" s="6" t="s">
        <v>17</v>
      </c>
      <c r="B16" s="24" t="s">
        <v>274</v>
      </c>
      <c r="C16" s="6" t="s">
        <v>19</v>
      </c>
      <c r="D16" s="6" t="s">
        <v>201</v>
      </c>
      <c r="E16" s="6" t="s">
        <v>202</v>
      </c>
      <c r="F16" s="8">
        <v>27</v>
      </c>
      <c r="G16" s="26">
        <v>158877.10999999999</v>
      </c>
      <c r="H16" s="8">
        <v>5884.3374074074072</v>
      </c>
      <c r="I16" s="27"/>
      <c r="J16" s="11"/>
      <c r="K16" s="24"/>
      <c r="L16" s="9"/>
      <c r="M16" s="8"/>
      <c r="N16" s="24" t="s">
        <v>277</v>
      </c>
      <c r="O16" s="24" t="s">
        <v>24</v>
      </c>
      <c r="P16" s="6" t="s">
        <v>19</v>
      </c>
    </row>
    <row r="17" spans="1:16" ht="21" customHeight="1" x14ac:dyDescent="0.2">
      <c r="A17" s="6" t="s">
        <v>17</v>
      </c>
      <c r="B17" s="24" t="s">
        <v>274</v>
      </c>
      <c r="C17" s="6" t="s">
        <v>19</v>
      </c>
      <c r="D17" s="6" t="s">
        <v>288</v>
      </c>
      <c r="E17" s="6" t="s">
        <v>289</v>
      </c>
      <c r="F17" s="8">
        <v>88</v>
      </c>
      <c r="G17" s="26">
        <v>511410.1</v>
      </c>
      <c r="H17" s="8">
        <v>5811.4784090909088</v>
      </c>
      <c r="I17" s="27"/>
      <c r="J17" s="11"/>
      <c r="K17" s="24"/>
      <c r="L17" s="9"/>
      <c r="M17" s="8"/>
      <c r="N17" s="24" t="s">
        <v>277</v>
      </c>
      <c r="O17" s="24" t="s">
        <v>24</v>
      </c>
      <c r="P17" s="6" t="s">
        <v>19</v>
      </c>
    </row>
    <row r="18" spans="1:16" ht="21" customHeight="1" x14ac:dyDescent="0.2">
      <c r="A18" s="6" t="s">
        <v>17</v>
      </c>
      <c r="B18" s="24" t="s">
        <v>274</v>
      </c>
      <c r="C18" s="6" t="s">
        <v>19</v>
      </c>
      <c r="D18" s="6" t="s">
        <v>212</v>
      </c>
      <c r="E18" s="6" t="s">
        <v>213</v>
      </c>
      <c r="F18" s="8">
        <v>108</v>
      </c>
      <c r="G18" s="26">
        <v>612555.04</v>
      </c>
      <c r="H18" s="8">
        <v>5671.8059259259262</v>
      </c>
      <c r="I18" s="27"/>
      <c r="J18" s="11"/>
      <c r="K18" s="24"/>
      <c r="L18" s="9"/>
      <c r="M18" s="8"/>
      <c r="N18" s="24" t="s">
        <v>277</v>
      </c>
      <c r="O18" s="24" t="s">
        <v>24</v>
      </c>
      <c r="P18" s="6" t="s">
        <v>19</v>
      </c>
    </row>
    <row r="19" spans="1:16" ht="21" customHeight="1" x14ac:dyDescent="0.2">
      <c r="A19" s="6" t="s">
        <v>17</v>
      </c>
      <c r="B19" s="24" t="s">
        <v>274</v>
      </c>
      <c r="C19" s="6" t="s">
        <v>19</v>
      </c>
      <c r="D19" s="6" t="s">
        <v>183</v>
      </c>
      <c r="E19" s="6" t="s">
        <v>184</v>
      </c>
      <c r="F19" s="8">
        <v>173</v>
      </c>
      <c r="G19" s="26">
        <v>962246.21</v>
      </c>
      <c r="H19" s="8">
        <v>5562.1168208092486</v>
      </c>
      <c r="I19" s="27"/>
      <c r="J19" s="11"/>
      <c r="K19" s="24"/>
      <c r="L19" s="9"/>
      <c r="M19" s="8"/>
      <c r="N19" s="24" t="s">
        <v>277</v>
      </c>
      <c r="O19" s="24" t="s">
        <v>24</v>
      </c>
      <c r="P19" s="6" t="s">
        <v>19</v>
      </c>
    </row>
    <row r="20" spans="1:16" ht="21" customHeight="1" x14ac:dyDescent="0.2">
      <c r="A20" s="6" t="s">
        <v>17</v>
      </c>
      <c r="B20" s="24" t="s">
        <v>274</v>
      </c>
      <c r="C20" s="6" t="s">
        <v>19</v>
      </c>
      <c r="D20" s="6" t="s">
        <v>131</v>
      </c>
      <c r="E20" s="6" t="s">
        <v>132</v>
      </c>
      <c r="F20" s="8">
        <v>153</v>
      </c>
      <c r="G20" s="26">
        <v>850467.6399999999</v>
      </c>
      <c r="H20" s="8">
        <v>5558.61202614379</v>
      </c>
      <c r="I20" s="27"/>
      <c r="J20" s="11"/>
      <c r="K20" s="24"/>
      <c r="L20" s="9"/>
      <c r="M20" s="8"/>
      <c r="N20" s="24" t="s">
        <v>277</v>
      </c>
      <c r="O20" s="24" t="s">
        <v>24</v>
      </c>
      <c r="P20" s="6" t="s">
        <v>19</v>
      </c>
    </row>
    <row r="21" spans="1:16" ht="21" customHeight="1" x14ac:dyDescent="0.2">
      <c r="A21" s="6" t="s">
        <v>17</v>
      </c>
      <c r="B21" s="24" t="s">
        <v>274</v>
      </c>
      <c r="C21" s="6" t="s">
        <v>19</v>
      </c>
      <c r="D21" s="6" t="s">
        <v>240</v>
      </c>
      <c r="E21" s="6" t="s">
        <v>241</v>
      </c>
      <c r="F21" s="8">
        <v>5</v>
      </c>
      <c r="G21" s="26">
        <v>27089.440000000002</v>
      </c>
      <c r="H21" s="8">
        <v>5417.8880000000008</v>
      </c>
      <c r="I21" s="27"/>
      <c r="J21" s="11"/>
      <c r="K21" s="24"/>
      <c r="L21" s="9"/>
      <c r="M21" s="8"/>
      <c r="N21" s="24" t="s">
        <v>277</v>
      </c>
      <c r="O21" s="24" t="s">
        <v>24</v>
      </c>
      <c r="P21" s="6" t="s">
        <v>19</v>
      </c>
    </row>
    <row r="22" spans="1:16" ht="21" customHeight="1" x14ac:dyDescent="0.2">
      <c r="A22" s="6" t="s">
        <v>17</v>
      </c>
      <c r="B22" s="24" t="s">
        <v>274</v>
      </c>
      <c r="C22" s="6" t="s">
        <v>19</v>
      </c>
      <c r="D22" s="6" t="s">
        <v>290</v>
      </c>
      <c r="E22" s="6" t="s">
        <v>291</v>
      </c>
      <c r="F22" s="8">
        <v>18</v>
      </c>
      <c r="G22" s="26">
        <v>97493.8</v>
      </c>
      <c r="H22" s="8">
        <v>5416.3222222222221</v>
      </c>
      <c r="I22" s="27"/>
      <c r="J22" s="11"/>
      <c r="K22" s="24"/>
      <c r="L22" s="9"/>
      <c r="M22" s="8"/>
      <c r="N22" s="24" t="s">
        <v>277</v>
      </c>
      <c r="O22" s="24" t="s">
        <v>24</v>
      </c>
      <c r="P22" s="6" t="s">
        <v>19</v>
      </c>
    </row>
    <row r="23" spans="1:16" ht="21" customHeight="1" x14ac:dyDescent="0.2">
      <c r="A23" s="6" t="s">
        <v>17</v>
      </c>
      <c r="B23" s="24" t="s">
        <v>274</v>
      </c>
      <c r="C23" s="6" t="s">
        <v>19</v>
      </c>
      <c r="D23" s="6" t="s">
        <v>155</v>
      </c>
      <c r="E23" s="6" t="s">
        <v>156</v>
      </c>
      <c r="F23" s="8">
        <v>170</v>
      </c>
      <c r="G23" s="26">
        <v>905121.66</v>
      </c>
      <c r="H23" s="8">
        <v>5324.2450588235297</v>
      </c>
      <c r="I23" s="27"/>
      <c r="J23" s="11"/>
      <c r="K23" s="24"/>
      <c r="L23" s="9"/>
      <c r="M23" s="8"/>
      <c r="N23" s="24" t="s">
        <v>277</v>
      </c>
      <c r="O23" s="24" t="s">
        <v>24</v>
      </c>
      <c r="P23" s="6" t="s">
        <v>19</v>
      </c>
    </row>
    <row r="24" spans="1:16" ht="21" customHeight="1" x14ac:dyDescent="0.2">
      <c r="A24" s="6" t="s">
        <v>17</v>
      </c>
      <c r="B24" s="24" t="s">
        <v>274</v>
      </c>
      <c r="C24" s="6" t="s">
        <v>19</v>
      </c>
      <c r="D24" s="6" t="s">
        <v>292</v>
      </c>
      <c r="E24" s="6" t="s">
        <v>293</v>
      </c>
      <c r="F24" s="8">
        <v>80</v>
      </c>
      <c r="G24" s="26">
        <v>419294.03</v>
      </c>
      <c r="H24" s="8">
        <v>5241.1753750000007</v>
      </c>
      <c r="I24" s="27"/>
      <c r="J24" s="11"/>
      <c r="K24" s="24"/>
      <c r="L24" s="9"/>
      <c r="M24" s="8"/>
      <c r="N24" s="24" t="s">
        <v>277</v>
      </c>
      <c r="O24" s="24" t="s">
        <v>24</v>
      </c>
      <c r="P24" s="6" t="s">
        <v>19</v>
      </c>
    </row>
    <row r="25" spans="1:16" ht="21" customHeight="1" x14ac:dyDescent="0.2">
      <c r="A25" s="6" t="s">
        <v>17</v>
      </c>
      <c r="B25" s="24" t="s">
        <v>274</v>
      </c>
      <c r="C25" s="6" t="s">
        <v>19</v>
      </c>
      <c r="D25" s="6" t="s">
        <v>294</v>
      </c>
      <c r="E25" s="6" t="s">
        <v>295</v>
      </c>
      <c r="F25" s="8">
        <v>2</v>
      </c>
      <c r="G25" s="26">
        <v>9984</v>
      </c>
      <c r="H25" s="8">
        <v>4992</v>
      </c>
      <c r="I25" s="27"/>
      <c r="J25" s="11"/>
      <c r="K25" s="24"/>
      <c r="L25" s="9"/>
      <c r="M25" s="8"/>
      <c r="N25" s="24" t="s">
        <v>277</v>
      </c>
      <c r="O25" s="24" t="s">
        <v>24</v>
      </c>
      <c r="P25" s="6" t="s">
        <v>19</v>
      </c>
    </row>
    <row r="26" spans="1:16" ht="21" customHeight="1" x14ac:dyDescent="0.2">
      <c r="A26" s="6" t="s">
        <v>17</v>
      </c>
      <c r="B26" s="24" t="s">
        <v>274</v>
      </c>
      <c r="C26" s="6" t="s">
        <v>19</v>
      </c>
      <c r="D26" s="6" t="s">
        <v>75</v>
      </c>
      <c r="E26" s="6" t="s">
        <v>76</v>
      </c>
      <c r="F26" s="8">
        <v>233</v>
      </c>
      <c r="G26" s="26">
        <v>1160368.71</v>
      </c>
      <c r="H26" s="8">
        <v>4980.1232188841204</v>
      </c>
      <c r="I26" s="27"/>
      <c r="J26" s="11"/>
      <c r="K26" s="24"/>
      <c r="L26" s="9"/>
      <c r="M26" s="8"/>
      <c r="N26" s="24" t="s">
        <v>277</v>
      </c>
      <c r="O26" s="24" t="s">
        <v>24</v>
      </c>
      <c r="P26" s="6" t="s">
        <v>19</v>
      </c>
    </row>
    <row r="27" spans="1:16" ht="21" customHeight="1" x14ac:dyDescent="0.2">
      <c r="A27" s="6" t="s">
        <v>17</v>
      </c>
      <c r="B27" s="24" t="s">
        <v>274</v>
      </c>
      <c r="C27" s="6" t="s">
        <v>19</v>
      </c>
      <c r="D27" s="6" t="s">
        <v>272</v>
      </c>
      <c r="E27" s="6" t="s">
        <v>273</v>
      </c>
      <c r="F27" s="8">
        <v>8</v>
      </c>
      <c r="G27" s="26">
        <v>39518</v>
      </c>
      <c r="H27" s="8">
        <v>4939.75</v>
      </c>
      <c r="I27" s="27"/>
      <c r="J27" s="11"/>
      <c r="K27" s="24"/>
      <c r="L27" s="9"/>
      <c r="M27" s="8"/>
      <c r="N27" s="24" t="s">
        <v>277</v>
      </c>
      <c r="O27" s="24" t="s">
        <v>24</v>
      </c>
      <c r="P27" s="6" t="s">
        <v>19</v>
      </c>
    </row>
    <row r="28" spans="1:16" ht="21" customHeight="1" x14ac:dyDescent="0.2">
      <c r="A28" s="6" t="s">
        <v>17</v>
      </c>
      <c r="B28" s="24" t="s">
        <v>274</v>
      </c>
      <c r="C28" s="6" t="s">
        <v>19</v>
      </c>
      <c r="D28" s="6" t="s">
        <v>171</v>
      </c>
      <c r="E28" s="6" t="s">
        <v>172</v>
      </c>
      <c r="F28" s="8">
        <v>111</v>
      </c>
      <c r="G28" s="26">
        <v>546432.57000000007</v>
      </c>
      <c r="H28" s="8">
        <v>4922.8159459459466</v>
      </c>
      <c r="I28" s="27"/>
      <c r="J28" s="11"/>
      <c r="K28" s="24"/>
      <c r="L28" s="9"/>
      <c r="M28" s="8"/>
      <c r="N28" s="24" t="s">
        <v>277</v>
      </c>
      <c r="O28" s="24" t="s">
        <v>24</v>
      </c>
      <c r="P28" s="6" t="s">
        <v>19</v>
      </c>
    </row>
    <row r="29" spans="1:16" ht="21" customHeight="1" x14ac:dyDescent="0.2">
      <c r="A29" s="6" t="s">
        <v>17</v>
      </c>
      <c r="B29" s="24" t="s">
        <v>274</v>
      </c>
      <c r="C29" s="6" t="s">
        <v>19</v>
      </c>
      <c r="D29" s="6" t="s">
        <v>101</v>
      </c>
      <c r="E29" s="6" t="s">
        <v>102</v>
      </c>
      <c r="F29" s="8">
        <v>203</v>
      </c>
      <c r="G29" s="26">
        <v>997208.4800000001</v>
      </c>
      <c r="H29" s="8">
        <v>4912.3570443349754</v>
      </c>
      <c r="I29" s="27"/>
      <c r="J29" s="11"/>
      <c r="K29" s="24"/>
      <c r="L29" s="9"/>
      <c r="M29" s="8"/>
      <c r="N29" s="24" t="s">
        <v>277</v>
      </c>
      <c r="O29" s="24" t="s">
        <v>24</v>
      </c>
      <c r="P29" s="6" t="s">
        <v>19</v>
      </c>
    </row>
    <row r="30" spans="1:16" ht="21" customHeight="1" x14ac:dyDescent="0.2">
      <c r="A30" s="6" t="s">
        <v>17</v>
      </c>
      <c r="B30" s="24" t="s">
        <v>274</v>
      </c>
      <c r="C30" s="6" t="s">
        <v>19</v>
      </c>
      <c r="D30" s="6" t="s">
        <v>189</v>
      </c>
      <c r="E30" s="6" t="s">
        <v>190</v>
      </c>
      <c r="F30" s="8">
        <v>185</v>
      </c>
      <c r="G30" s="26">
        <v>898954.65</v>
      </c>
      <c r="H30" s="8">
        <v>4859.2143243243245</v>
      </c>
      <c r="I30" s="27"/>
      <c r="J30" s="11"/>
      <c r="K30" s="24"/>
      <c r="L30" s="9"/>
      <c r="M30" s="8"/>
      <c r="N30" s="24" t="s">
        <v>277</v>
      </c>
      <c r="O30" s="24" t="s">
        <v>24</v>
      </c>
      <c r="P30" s="6" t="s">
        <v>19</v>
      </c>
    </row>
    <row r="31" spans="1:16" ht="21" customHeight="1" x14ac:dyDescent="0.2">
      <c r="A31" s="6" t="s">
        <v>17</v>
      </c>
      <c r="B31" s="24" t="s">
        <v>274</v>
      </c>
      <c r="C31" s="6" t="s">
        <v>19</v>
      </c>
      <c r="D31" s="6" t="s">
        <v>115</v>
      </c>
      <c r="E31" s="6" t="s">
        <v>116</v>
      </c>
      <c r="F31" s="8">
        <v>387</v>
      </c>
      <c r="G31" s="26">
        <v>1866542.8599999999</v>
      </c>
      <c r="H31" s="8">
        <v>4823.1081653746769</v>
      </c>
      <c r="I31" s="27"/>
      <c r="J31" s="11"/>
      <c r="K31" s="24"/>
      <c r="L31" s="9"/>
      <c r="M31" s="8"/>
      <c r="N31" s="24" t="s">
        <v>277</v>
      </c>
      <c r="O31" s="24" t="s">
        <v>24</v>
      </c>
      <c r="P31" s="6" t="s">
        <v>19</v>
      </c>
    </row>
    <row r="32" spans="1:16" ht="21" customHeight="1" x14ac:dyDescent="0.2">
      <c r="A32" s="6" t="s">
        <v>17</v>
      </c>
      <c r="B32" s="24" t="s">
        <v>274</v>
      </c>
      <c r="C32" s="6" t="s">
        <v>19</v>
      </c>
      <c r="D32" s="6" t="s">
        <v>111</v>
      </c>
      <c r="E32" s="6" t="s">
        <v>112</v>
      </c>
      <c r="F32" s="8">
        <v>128</v>
      </c>
      <c r="G32" s="26">
        <v>604813.34</v>
      </c>
      <c r="H32" s="8">
        <v>4725.1042187499997</v>
      </c>
      <c r="I32" s="27"/>
      <c r="J32" s="11"/>
      <c r="K32" s="24"/>
      <c r="L32" s="9"/>
      <c r="M32" s="8"/>
      <c r="N32" s="24" t="s">
        <v>277</v>
      </c>
      <c r="O32" s="24" t="s">
        <v>24</v>
      </c>
      <c r="P32" s="6" t="s">
        <v>19</v>
      </c>
    </row>
    <row r="33" spans="1:16" ht="21" customHeight="1" x14ac:dyDescent="0.2">
      <c r="A33" s="6" t="s">
        <v>17</v>
      </c>
      <c r="B33" s="24" t="s">
        <v>274</v>
      </c>
      <c r="C33" s="6" t="s">
        <v>19</v>
      </c>
      <c r="D33" s="6" t="s">
        <v>83</v>
      </c>
      <c r="E33" s="6" t="s">
        <v>84</v>
      </c>
      <c r="F33" s="8">
        <v>268</v>
      </c>
      <c r="G33" s="26">
        <v>1253226.73</v>
      </c>
      <c r="H33" s="8">
        <v>4676.2191417910444</v>
      </c>
      <c r="I33" s="27"/>
      <c r="J33" s="11"/>
      <c r="K33" s="24"/>
      <c r="L33" s="9"/>
      <c r="M33" s="8"/>
      <c r="N33" s="24" t="s">
        <v>277</v>
      </c>
      <c r="O33" s="24" t="s">
        <v>24</v>
      </c>
      <c r="P33" s="6" t="s">
        <v>19</v>
      </c>
    </row>
    <row r="34" spans="1:16" ht="21" customHeight="1" x14ac:dyDescent="0.2">
      <c r="A34" s="6" t="s">
        <v>17</v>
      </c>
      <c r="B34" s="24" t="s">
        <v>274</v>
      </c>
      <c r="C34" s="6" t="s">
        <v>19</v>
      </c>
      <c r="D34" s="6" t="s">
        <v>139</v>
      </c>
      <c r="E34" s="6" t="s">
        <v>140</v>
      </c>
      <c r="F34" s="8">
        <v>143</v>
      </c>
      <c r="G34" s="26">
        <v>665873.76</v>
      </c>
      <c r="H34" s="8">
        <v>4656.4598601398602</v>
      </c>
      <c r="I34" s="27"/>
      <c r="J34" s="11"/>
      <c r="K34" s="24"/>
      <c r="L34" s="9"/>
      <c r="M34" s="8"/>
      <c r="N34" s="24" t="s">
        <v>277</v>
      </c>
      <c r="O34" s="24" t="s">
        <v>24</v>
      </c>
      <c r="P34" s="6" t="s">
        <v>19</v>
      </c>
    </row>
    <row r="35" spans="1:16" ht="21" customHeight="1" x14ac:dyDescent="0.2">
      <c r="A35" s="6" t="s">
        <v>17</v>
      </c>
      <c r="B35" s="24" t="s">
        <v>274</v>
      </c>
      <c r="C35" s="6" t="s">
        <v>19</v>
      </c>
      <c r="D35" s="6" t="s">
        <v>147</v>
      </c>
      <c r="E35" s="6" t="s">
        <v>148</v>
      </c>
      <c r="F35" s="8">
        <v>119</v>
      </c>
      <c r="G35" s="26">
        <v>554082.38</v>
      </c>
      <c r="H35" s="8">
        <v>4656.1544537815125</v>
      </c>
      <c r="I35" s="27"/>
      <c r="J35" s="11"/>
      <c r="K35" s="24"/>
      <c r="L35" s="9"/>
      <c r="M35" s="8"/>
      <c r="N35" s="24" t="s">
        <v>277</v>
      </c>
      <c r="O35" s="24" t="s">
        <v>24</v>
      </c>
      <c r="P35" s="6" t="s">
        <v>19</v>
      </c>
    </row>
    <row r="36" spans="1:16" ht="21" customHeight="1" x14ac:dyDescent="0.2">
      <c r="A36" s="6" t="s">
        <v>17</v>
      </c>
      <c r="B36" s="24" t="s">
        <v>274</v>
      </c>
      <c r="C36" s="6" t="s">
        <v>19</v>
      </c>
      <c r="D36" s="6" t="s">
        <v>169</v>
      </c>
      <c r="E36" s="6" t="s">
        <v>170</v>
      </c>
      <c r="F36" s="8">
        <v>340</v>
      </c>
      <c r="G36" s="26">
        <v>1526313.52</v>
      </c>
      <c r="H36" s="8">
        <v>4489.157411764706</v>
      </c>
      <c r="I36" s="27"/>
      <c r="J36" s="11"/>
      <c r="K36" s="24"/>
      <c r="L36" s="9"/>
      <c r="M36" s="8"/>
      <c r="N36" s="24" t="s">
        <v>277</v>
      </c>
      <c r="O36" s="24" t="s">
        <v>24</v>
      </c>
      <c r="P36" s="6" t="s">
        <v>19</v>
      </c>
    </row>
    <row r="37" spans="1:16" ht="21" customHeight="1" x14ac:dyDescent="0.2">
      <c r="A37" s="6" t="s">
        <v>17</v>
      </c>
      <c r="B37" s="24" t="s">
        <v>274</v>
      </c>
      <c r="C37" s="6" t="s">
        <v>19</v>
      </c>
      <c r="D37" s="6" t="s">
        <v>107</v>
      </c>
      <c r="E37" s="6" t="s">
        <v>108</v>
      </c>
      <c r="F37" s="8">
        <v>65</v>
      </c>
      <c r="G37" s="26">
        <v>285759.46999999997</v>
      </c>
      <c r="H37" s="8">
        <v>4396.2995384615378</v>
      </c>
      <c r="I37" s="27"/>
      <c r="J37" s="11"/>
      <c r="K37" s="24"/>
      <c r="L37" s="9"/>
      <c r="M37" s="8"/>
      <c r="N37" s="24" t="s">
        <v>277</v>
      </c>
      <c r="O37" s="24" t="s">
        <v>24</v>
      </c>
      <c r="P37" s="6" t="s">
        <v>19</v>
      </c>
    </row>
    <row r="38" spans="1:16" ht="21" customHeight="1" x14ac:dyDescent="0.2">
      <c r="A38" s="6" t="s">
        <v>17</v>
      </c>
      <c r="B38" s="24" t="s">
        <v>274</v>
      </c>
      <c r="C38" s="6" t="s">
        <v>19</v>
      </c>
      <c r="D38" s="6" t="s">
        <v>79</v>
      </c>
      <c r="E38" s="6" t="s">
        <v>80</v>
      </c>
      <c r="F38" s="8">
        <v>146</v>
      </c>
      <c r="G38" s="26">
        <v>641406.12</v>
      </c>
      <c r="H38" s="8">
        <v>4393.1926027397258</v>
      </c>
      <c r="I38" s="27"/>
      <c r="J38" s="11"/>
      <c r="K38" s="24"/>
      <c r="L38" s="9"/>
      <c r="M38" s="8"/>
      <c r="N38" s="24" t="s">
        <v>277</v>
      </c>
      <c r="O38" s="24" t="s">
        <v>24</v>
      </c>
      <c r="P38" s="6" t="s">
        <v>19</v>
      </c>
    </row>
    <row r="39" spans="1:16" ht="21" customHeight="1" x14ac:dyDescent="0.2">
      <c r="A39" s="6" t="s">
        <v>17</v>
      </c>
      <c r="B39" s="24" t="s">
        <v>274</v>
      </c>
      <c r="C39" s="6" t="s">
        <v>19</v>
      </c>
      <c r="D39" s="6" t="s">
        <v>185</v>
      </c>
      <c r="E39" s="6" t="s">
        <v>186</v>
      </c>
      <c r="F39" s="8">
        <v>139</v>
      </c>
      <c r="G39" s="26">
        <v>602463.19999999995</v>
      </c>
      <c r="H39" s="8">
        <v>4334.2676258992806</v>
      </c>
      <c r="I39" s="27"/>
      <c r="J39" s="11"/>
      <c r="K39" s="24"/>
      <c r="L39" s="9"/>
      <c r="M39" s="8"/>
      <c r="N39" s="24" t="s">
        <v>277</v>
      </c>
      <c r="O39" s="24" t="s">
        <v>24</v>
      </c>
      <c r="P39" s="6" t="s">
        <v>19</v>
      </c>
    </row>
    <row r="40" spans="1:16" ht="21" customHeight="1" x14ac:dyDescent="0.2">
      <c r="A40" s="6" t="s">
        <v>17</v>
      </c>
      <c r="B40" s="24" t="s">
        <v>274</v>
      </c>
      <c r="C40" s="6" t="s">
        <v>19</v>
      </c>
      <c r="D40" s="6" t="s">
        <v>51</v>
      </c>
      <c r="E40" s="6" t="s">
        <v>52</v>
      </c>
      <c r="F40" s="8">
        <v>155</v>
      </c>
      <c r="G40" s="26">
        <v>666032.71</v>
      </c>
      <c r="H40" s="8">
        <v>4296.9852258064511</v>
      </c>
      <c r="I40" s="27"/>
      <c r="J40" s="11"/>
      <c r="K40" s="24"/>
      <c r="L40" s="9"/>
      <c r="M40" s="8"/>
      <c r="N40" s="24" t="s">
        <v>277</v>
      </c>
      <c r="O40" s="24" t="s">
        <v>24</v>
      </c>
      <c r="P40" s="6" t="s">
        <v>19</v>
      </c>
    </row>
    <row r="41" spans="1:16" ht="21" customHeight="1" x14ac:dyDescent="0.2">
      <c r="A41" s="6" t="s">
        <v>17</v>
      </c>
      <c r="B41" s="24" t="s">
        <v>274</v>
      </c>
      <c r="C41" s="6" t="s">
        <v>19</v>
      </c>
      <c r="D41" s="6" t="s">
        <v>167</v>
      </c>
      <c r="E41" s="6" t="s">
        <v>168</v>
      </c>
      <c r="F41" s="8">
        <v>142</v>
      </c>
      <c r="G41" s="26">
        <v>601629.95000000007</v>
      </c>
      <c r="H41" s="8">
        <v>4236.8306338028178</v>
      </c>
      <c r="I41" s="27"/>
      <c r="J41" s="11"/>
      <c r="K41" s="24"/>
      <c r="L41" s="9"/>
      <c r="M41" s="8"/>
      <c r="N41" s="24" t="s">
        <v>277</v>
      </c>
      <c r="O41" s="24" t="s">
        <v>24</v>
      </c>
      <c r="P41" s="6" t="s">
        <v>19</v>
      </c>
    </row>
    <row r="42" spans="1:16" ht="21" customHeight="1" x14ac:dyDescent="0.2">
      <c r="A42" s="6" t="s">
        <v>17</v>
      </c>
      <c r="B42" s="24" t="s">
        <v>274</v>
      </c>
      <c r="C42" s="6" t="s">
        <v>19</v>
      </c>
      <c r="D42" s="6" t="s">
        <v>296</v>
      </c>
      <c r="E42" s="6" t="s">
        <v>297</v>
      </c>
      <c r="F42" s="8">
        <v>9</v>
      </c>
      <c r="G42" s="26">
        <v>37900</v>
      </c>
      <c r="H42" s="8">
        <v>4211.1111111111113</v>
      </c>
      <c r="I42" s="27"/>
      <c r="J42" s="11"/>
      <c r="K42" s="24"/>
      <c r="L42" s="9"/>
      <c r="M42" s="8"/>
      <c r="N42" s="24" t="s">
        <v>277</v>
      </c>
      <c r="O42" s="24" t="s">
        <v>24</v>
      </c>
      <c r="P42" s="6" t="s">
        <v>19</v>
      </c>
    </row>
    <row r="43" spans="1:16" ht="21" customHeight="1" x14ac:dyDescent="0.2">
      <c r="A43" s="6" t="s">
        <v>17</v>
      </c>
      <c r="B43" s="24" t="s">
        <v>274</v>
      </c>
      <c r="C43" s="6" t="s">
        <v>19</v>
      </c>
      <c r="D43" s="6" t="s">
        <v>298</v>
      </c>
      <c r="E43" s="6" t="s">
        <v>299</v>
      </c>
      <c r="F43" s="8">
        <v>27</v>
      </c>
      <c r="G43" s="26">
        <v>113114.68</v>
      </c>
      <c r="H43" s="8">
        <v>4189.4325925925923</v>
      </c>
      <c r="I43" s="27"/>
      <c r="J43" s="11"/>
      <c r="K43" s="24"/>
      <c r="L43" s="9"/>
      <c r="M43" s="8"/>
      <c r="N43" s="24" t="s">
        <v>277</v>
      </c>
      <c r="O43" s="24" t="s">
        <v>24</v>
      </c>
      <c r="P43" s="6" t="s">
        <v>19</v>
      </c>
    </row>
    <row r="44" spans="1:16" ht="21" customHeight="1" x14ac:dyDescent="0.2">
      <c r="A44" s="6" t="s">
        <v>17</v>
      </c>
      <c r="B44" s="24" t="s">
        <v>274</v>
      </c>
      <c r="C44" s="6" t="s">
        <v>19</v>
      </c>
      <c r="D44" s="6" t="s">
        <v>300</v>
      </c>
      <c r="E44" s="6" t="s">
        <v>301</v>
      </c>
      <c r="F44" s="8">
        <v>22</v>
      </c>
      <c r="G44" s="26">
        <v>91401</v>
      </c>
      <c r="H44" s="8">
        <v>4154.590909090909</v>
      </c>
      <c r="I44" s="27"/>
      <c r="J44" s="11"/>
      <c r="K44" s="24"/>
      <c r="L44" s="9"/>
      <c r="M44" s="8"/>
      <c r="N44" s="24" t="s">
        <v>277</v>
      </c>
      <c r="O44" s="24" t="s">
        <v>24</v>
      </c>
      <c r="P44" s="6" t="s">
        <v>19</v>
      </c>
    </row>
    <row r="45" spans="1:16" ht="21" customHeight="1" x14ac:dyDescent="0.2">
      <c r="A45" s="6" t="s">
        <v>17</v>
      </c>
      <c r="B45" s="24" t="s">
        <v>274</v>
      </c>
      <c r="C45" s="6" t="s">
        <v>19</v>
      </c>
      <c r="D45" s="6" t="s">
        <v>238</v>
      </c>
      <c r="E45" s="6" t="s">
        <v>239</v>
      </c>
      <c r="F45" s="8">
        <v>81</v>
      </c>
      <c r="G45" s="26">
        <v>335324.67</v>
      </c>
      <c r="H45" s="8">
        <v>4139.8107407407406</v>
      </c>
      <c r="I45" s="27"/>
      <c r="J45" s="11"/>
      <c r="K45" s="24"/>
      <c r="L45" s="9"/>
      <c r="M45" s="8"/>
      <c r="N45" s="24" t="s">
        <v>277</v>
      </c>
      <c r="O45" s="24" t="s">
        <v>24</v>
      </c>
      <c r="P45" s="6" t="s">
        <v>19</v>
      </c>
    </row>
    <row r="46" spans="1:16" ht="21" customHeight="1" x14ac:dyDescent="0.2">
      <c r="A46" s="6" t="s">
        <v>17</v>
      </c>
      <c r="B46" s="24" t="s">
        <v>274</v>
      </c>
      <c r="C46" s="6" t="s">
        <v>19</v>
      </c>
      <c r="D46" s="6" t="s">
        <v>63</v>
      </c>
      <c r="E46" s="6" t="s">
        <v>64</v>
      </c>
      <c r="F46" s="8">
        <v>142</v>
      </c>
      <c r="G46" s="26">
        <v>584261.38</v>
      </c>
      <c r="H46" s="8">
        <v>4114.5167605633806</v>
      </c>
      <c r="I46" s="27"/>
      <c r="J46" s="11"/>
      <c r="K46" s="24"/>
      <c r="L46" s="9"/>
      <c r="M46" s="8"/>
      <c r="N46" s="24" t="s">
        <v>277</v>
      </c>
      <c r="O46" s="24" t="s">
        <v>24</v>
      </c>
      <c r="P46" s="6" t="s">
        <v>19</v>
      </c>
    </row>
    <row r="47" spans="1:16" ht="21" customHeight="1" x14ac:dyDescent="0.2">
      <c r="A47" s="6" t="s">
        <v>17</v>
      </c>
      <c r="B47" s="24" t="s">
        <v>274</v>
      </c>
      <c r="C47" s="6" t="s">
        <v>19</v>
      </c>
      <c r="D47" s="6" t="s">
        <v>302</v>
      </c>
      <c r="E47" s="6" t="s">
        <v>303</v>
      </c>
      <c r="F47" s="8">
        <v>101</v>
      </c>
      <c r="G47" s="26">
        <v>408837.72</v>
      </c>
      <c r="H47" s="8">
        <v>4047.8982178217821</v>
      </c>
      <c r="I47" s="27"/>
      <c r="J47" s="11"/>
      <c r="K47" s="24"/>
      <c r="L47" s="9"/>
      <c r="M47" s="8"/>
      <c r="N47" s="24" t="s">
        <v>277</v>
      </c>
      <c r="O47" s="24" t="s">
        <v>24</v>
      </c>
      <c r="P47" s="6" t="s">
        <v>19</v>
      </c>
    </row>
    <row r="48" spans="1:16" ht="21" customHeight="1" x14ac:dyDescent="0.2">
      <c r="A48" s="6" t="s">
        <v>17</v>
      </c>
      <c r="B48" s="24" t="s">
        <v>274</v>
      </c>
      <c r="C48" s="6" t="s">
        <v>19</v>
      </c>
      <c r="D48" s="6" t="s">
        <v>45</v>
      </c>
      <c r="E48" s="6" t="s">
        <v>46</v>
      </c>
      <c r="F48" s="8">
        <v>94</v>
      </c>
      <c r="G48" s="26">
        <v>359541.43</v>
      </c>
      <c r="H48" s="8">
        <v>3824.908829787234</v>
      </c>
      <c r="I48" s="27"/>
      <c r="J48" s="11"/>
      <c r="K48" s="24"/>
      <c r="L48" s="9"/>
      <c r="M48" s="8"/>
      <c r="N48" s="24" t="s">
        <v>277</v>
      </c>
      <c r="O48" s="24" t="s">
        <v>24</v>
      </c>
      <c r="P48" s="6" t="s">
        <v>19</v>
      </c>
    </row>
    <row r="49" spans="1:16" ht="21" customHeight="1" x14ac:dyDescent="0.2">
      <c r="A49" s="6" t="s">
        <v>17</v>
      </c>
      <c r="B49" s="24" t="s">
        <v>274</v>
      </c>
      <c r="C49" s="6" t="s">
        <v>19</v>
      </c>
      <c r="D49" s="6" t="s">
        <v>61</v>
      </c>
      <c r="E49" s="6" t="s">
        <v>62</v>
      </c>
      <c r="F49" s="8">
        <v>112</v>
      </c>
      <c r="G49" s="26">
        <v>420975.28</v>
      </c>
      <c r="H49" s="8">
        <v>3758.7078571428574</v>
      </c>
      <c r="I49" s="27"/>
      <c r="J49" s="11"/>
      <c r="K49" s="24"/>
      <c r="L49" s="9"/>
      <c r="M49" s="8"/>
      <c r="N49" s="24" t="s">
        <v>277</v>
      </c>
      <c r="O49" s="24" t="s">
        <v>24</v>
      </c>
      <c r="P49" s="6" t="s">
        <v>19</v>
      </c>
    </row>
    <row r="50" spans="1:16" ht="21" customHeight="1" x14ac:dyDescent="0.2">
      <c r="A50" s="6" t="s">
        <v>17</v>
      </c>
      <c r="B50" s="24" t="s">
        <v>274</v>
      </c>
      <c r="C50" s="6" t="s">
        <v>19</v>
      </c>
      <c r="D50" s="6" t="s">
        <v>93</v>
      </c>
      <c r="E50" s="6" t="s">
        <v>94</v>
      </c>
      <c r="F50" s="8">
        <v>105</v>
      </c>
      <c r="G50" s="26">
        <v>390367.48</v>
      </c>
      <c r="H50" s="8">
        <v>3717.7855238095235</v>
      </c>
      <c r="I50" s="27"/>
      <c r="J50" s="11"/>
      <c r="K50" s="24"/>
      <c r="L50" s="9"/>
      <c r="M50" s="8"/>
      <c r="N50" s="24" t="s">
        <v>277</v>
      </c>
      <c r="O50" s="24" t="s">
        <v>24</v>
      </c>
      <c r="P50" s="6" t="s">
        <v>19</v>
      </c>
    </row>
    <row r="51" spans="1:16" ht="21" customHeight="1" x14ac:dyDescent="0.2">
      <c r="A51" s="6" t="s">
        <v>17</v>
      </c>
      <c r="B51" s="24" t="s">
        <v>274</v>
      </c>
      <c r="C51" s="6" t="s">
        <v>19</v>
      </c>
      <c r="D51" s="6" t="s">
        <v>304</v>
      </c>
      <c r="E51" s="6" t="s">
        <v>305</v>
      </c>
      <c r="F51" s="8">
        <v>143</v>
      </c>
      <c r="G51" s="26">
        <v>529988.54</v>
      </c>
      <c r="H51" s="8">
        <v>3706.2135664335665</v>
      </c>
      <c r="I51" s="27"/>
      <c r="J51" s="11"/>
      <c r="K51" s="24"/>
      <c r="L51" s="9"/>
      <c r="M51" s="8"/>
      <c r="N51" s="24" t="s">
        <v>277</v>
      </c>
      <c r="O51" s="24" t="s">
        <v>24</v>
      </c>
      <c r="P51" s="6" t="s">
        <v>19</v>
      </c>
    </row>
    <row r="52" spans="1:16" ht="21" customHeight="1" x14ac:dyDescent="0.2">
      <c r="A52" s="6" t="s">
        <v>17</v>
      </c>
      <c r="B52" s="24" t="s">
        <v>274</v>
      </c>
      <c r="C52" s="6" t="s">
        <v>19</v>
      </c>
      <c r="D52" s="6" t="s">
        <v>33</v>
      </c>
      <c r="E52" s="6" t="s">
        <v>34</v>
      </c>
      <c r="F52" s="8">
        <v>220</v>
      </c>
      <c r="G52" s="26">
        <v>809575.11</v>
      </c>
      <c r="H52" s="8">
        <v>3679.8868636363636</v>
      </c>
      <c r="I52" s="27"/>
      <c r="J52" s="11"/>
      <c r="K52" s="24"/>
      <c r="L52" s="9"/>
      <c r="M52" s="8"/>
      <c r="N52" s="24" t="s">
        <v>277</v>
      </c>
      <c r="O52" s="24" t="s">
        <v>24</v>
      </c>
      <c r="P52" s="6" t="s">
        <v>19</v>
      </c>
    </row>
    <row r="53" spans="1:16" ht="21" customHeight="1" x14ac:dyDescent="0.2">
      <c r="A53" s="6" t="s">
        <v>17</v>
      </c>
      <c r="B53" s="24" t="s">
        <v>274</v>
      </c>
      <c r="C53" s="6" t="s">
        <v>19</v>
      </c>
      <c r="D53" s="6" t="s">
        <v>306</v>
      </c>
      <c r="E53" s="6" t="s">
        <v>307</v>
      </c>
      <c r="F53" s="8">
        <v>21</v>
      </c>
      <c r="G53" s="26">
        <v>76419</v>
      </c>
      <c r="H53" s="8">
        <v>3639</v>
      </c>
      <c r="I53" s="27"/>
      <c r="J53" s="11"/>
      <c r="K53" s="24"/>
      <c r="L53" s="9"/>
      <c r="M53" s="8"/>
      <c r="N53" s="24" t="s">
        <v>277</v>
      </c>
      <c r="O53" s="24" t="s">
        <v>24</v>
      </c>
      <c r="P53" s="6" t="s">
        <v>19</v>
      </c>
    </row>
    <row r="54" spans="1:16" ht="21" customHeight="1" x14ac:dyDescent="0.2">
      <c r="A54" s="6" t="s">
        <v>17</v>
      </c>
      <c r="B54" s="24" t="s">
        <v>274</v>
      </c>
      <c r="C54" s="6" t="s">
        <v>19</v>
      </c>
      <c r="D54" s="6" t="s">
        <v>65</v>
      </c>
      <c r="E54" s="6" t="s">
        <v>66</v>
      </c>
      <c r="F54" s="8">
        <v>199</v>
      </c>
      <c r="G54" s="26">
        <v>717869.75</v>
      </c>
      <c r="H54" s="8">
        <v>3607.3856783919596</v>
      </c>
      <c r="I54" s="27"/>
      <c r="J54" s="11"/>
      <c r="K54" s="24"/>
      <c r="L54" s="9"/>
      <c r="M54" s="8"/>
      <c r="N54" s="24" t="s">
        <v>277</v>
      </c>
      <c r="O54" s="24" t="s">
        <v>24</v>
      </c>
      <c r="P54" s="6" t="s">
        <v>19</v>
      </c>
    </row>
    <row r="55" spans="1:16" ht="21" customHeight="1" x14ac:dyDescent="0.2">
      <c r="A55" s="6" t="s">
        <v>17</v>
      </c>
      <c r="B55" s="24" t="s">
        <v>274</v>
      </c>
      <c r="C55" s="6" t="s">
        <v>19</v>
      </c>
      <c r="D55" s="6" t="s">
        <v>262</v>
      </c>
      <c r="E55" s="6" t="s">
        <v>263</v>
      </c>
      <c r="F55" s="8">
        <v>160</v>
      </c>
      <c r="G55" s="26">
        <v>571233.01</v>
      </c>
      <c r="H55" s="8">
        <v>3570.2063125</v>
      </c>
      <c r="I55" s="27"/>
      <c r="J55" s="11"/>
      <c r="K55" s="24"/>
      <c r="L55" s="9"/>
      <c r="M55" s="8"/>
      <c r="N55" s="24" t="s">
        <v>277</v>
      </c>
      <c r="O55" s="24" t="s">
        <v>24</v>
      </c>
      <c r="P55" s="6" t="s">
        <v>19</v>
      </c>
    </row>
    <row r="56" spans="1:16" ht="21" customHeight="1" x14ac:dyDescent="0.2">
      <c r="A56" s="6" t="s">
        <v>17</v>
      </c>
      <c r="B56" s="24" t="s">
        <v>274</v>
      </c>
      <c r="C56" s="6" t="s">
        <v>19</v>
      </c>
      <c r="D56" s="6" t="s">
        <v>73</v>
      </c>
      <c r="E56" s="6" t="s">
        <v>74</v>
      </c>
      <c r="F56" s="8">
        <v>164</v>
      </c>
      <c r="G56" s="26">
        <v>579934.91999999993</v>
      </c>
      <c r="H56" s="8">
        <v>3536.1885365853655</v>
      </c>
      <c r="I56" s="27"/>
      <c r="J56" s="11"/>
      <c r="K56" s="24"/>
      <c r="L56" s="9"/>
      <c r="M56" s="8"/>
      <c r="N56" s="24" t="s">
        <v>277</v>
      </c>
      <c r="O56" s="24" t="s">
        <v>24</v>
      </c>
      <c r="P56" s="6" t="s">
        <v>19</v>
      </c>
    </row>
    <row r="57" spans="1:16" ht="21" customHeight="1" x14ac:dyDescent="0.2">
      <c r="A57" s="6" t="s">
        <v>17</v>
      </c>
      <c r="B57" s="24" t="s">
        <v>274</v>
      </c>
      <c r="C57" s="6" t="s">
        <v>19</v>
      </c>
      <c r="D57" s="6" t="s">
        <v>145</v>
      </c>
      <c r="E57" s="6" t="s">
        <v>146</v>
      </c>
      <c r="F57" s="8">
        <v>139</v>
      </c>
      <c r="G57" s="26">
        <v>486970.77</v>
      </c>
      <c r="H57" s="8">
        <v>3503.3868345323745</v>
      </c>
      <c r="I57" s="27"/>
      <c r="J57" s="11"/>
      <c r="K57" s="24"/>
      <c r="L57" s="9"/>
      <c r="M57" s="8"/>
      <c r="N57" s="24" t="s">
        <v>277</v>
      </c>
      <c r="O57" s="24" t="s">
        <v>24</v>
      </c>
      <c r="P57" s="6" t="s">
        <v>19</v>
      </c>
    </row>
    <row r="58" spans="1:16" ht="21" customHeight="1" x14ac:dyDescent="0.2">
      <c r="A58" s="6" t="s">
        <v>17</v>
      </c>
      <c r="B58" s="24" t="s">
        <v>274</v>
      </c>
      <c r="C58" s="6" t="s">
        <v>19</v>
      </c>
      <c r="D58" s="6" t="s">
        <v>308</v>
      </c>
      <c r="E58" s="6" t="s">
        <v>309</v>
      </c>
      <c r="F58" s="8">
        <v>45</v>
      </c>
      <c r="G58" s="26">
        <v>156899.38</v>
      </c>
      <c r="H58" s="8">
        <v>3486.6528888888888</v>
      </c>
      <c r="I58" s="27"/>
      <c r="J58" s="11"/>
      <c r="K58" s="24"/>
      <c r="L58" s="9"/>
      <c r="M58" s="8"/>
      <c r="N58" s="24" t="s">
        <v>277</v>
      </c>
      <c r="O58" s="24" t="s">
        <v>24</v>
      </c>
      <c r="P58" s="6" t="s">
        <v>19</v>
      </c>
    </row>
    <row r="59" spans="1:16" ht="21" customHeight="1" x14ac:dyDescent="0.2">
      <c r="A59" s="6" t="s">
        <v>17</v>
      </c>
      <c r="B59" s="24" t="s">
        <v>274</v>
      </c>
      <c r="C59" s="6" t="s">
        <v>19</v>
      </c>
      <c r="D59" s="6" t="s">
        <v>77</v>
      </c>
      <c r="E59" s="6" t="s">
        <v>78</v>
      </c>
      <c r="F59" s="8">
        <v>338</v>
      </c>
      <c r="G59" s="26">
        <v>1175914.78</v>
      </c>
      <c r="H59" s="8">
        <v>3479.0378106508879</v>
      </c>
      <c r="I59" s="27"/>
      <c r="J59" s="11"/>
      <c r="K59" s="24"/>
      <c r="L59" s="9"/>
      <c r="M59" s="8"/>
      <c r="N59" s="24" t="s">
        <v>277</v>
      </c>
      <c r="O59" s="24" t="s">
        <v>24</v>
      </c>
      <c r="P59" s="6" t="s">
        <v>19</v>
      </c>
    </row>
    <row r="60" spans="1:16" ht="21" customHeight="1" x14ac:dyDescent="0.2">
      <c r="A60" s="6" t="s">
        <v>17</v>
      </c>
      <c r="B60" s="24" t="s">
        <v>274</v>
      </c>
      <c r="C60" s="6" t="s">
        <v>19</v>
      </c>
      <c r="D60" s="6" t="s">
        <v>165</v>
      </c>
      <c r="E60" s="6" t="s">
        <v>166</v>
      </c>
      <c r="F60" s="8">
        <v>88</v>
      </c>
      <c r="G60" s="26">
        <v>300908.92</v>
      </c>
      <c r="H60" s="8">
        <v>3419.4195454545452</v>
      </c>
      <c r="I60" s="27"/>
      <c r="J60" s="11"/>
      <c r="K60" s="24"/>
      <c r="L60" s="9"/>
      <c r="M60" s="8"/>
      <c r="N60" s="24" t="s">
        <v>277</v>
      </c>
      <c r="O60" s="24" t="s">
        <v>24</v>
      </c>
      <c r="P60" s="6" t="s">
        <v>19</v>
      </c>
    </row>
    <row r="61" spans="1:16" ht="21" customHeight="1" x14ac:dyDescent="0.2">
      <c r="A61" s="6" t="s">
        <v>17</v>
      </c>
      <c r="B61" s="24" t="s">
        <v>274</v>
      </c>
      <c r="C61" s="6" t="s">
        <v>19</v>
      </c>
      <c r="D61" s="6" t="s">
        <v>175</v>
      </c>
      <c r="E61" s="6" t="s">
        <v>176</v>
      </c>
      <c r="F61" s="8">
        <v>60</v>
      </c>
      <c r="G61" s="26">
        <v>203354.96</v>
      </c>
      <c r="H61" s="8">
        <v>3389.2493333333332</v>
      </c>
      <c r="I61" s="27"/>
      <c r="J61" s="11"/>
      <c r="K61" s="24"/>
      <c r="L61" s="9"/>
      <c r="M61" s="8"/>
      <c r="N61" s="24" t="s">
        <v>277</v>
      </c>
      <c r="O61" s="24" t="s">
        <v>24</v>
      </c>
      <c r="P61" s="6" t="s">
        <v>19</v>
      </c>
    </row>
    <row r="62" spans="1:16" ht="21" customHeight="1" x14ac:dyDescent="0.2">
      <c r="A62" s="6" t="s">
        <v>17</v>
      </c>
      <c r="B62" s="24" t="s">
        <v>274</v>
      </c>
      <c r="C62" s="6" t="s">
        <v>19</v>
      </c>
      <c r="D62" s="6" t="s">
        <v>310</v>
      </c>
      <c r="E62" s="6" t="s">
        <v>311</v>
      </c>
      <c r="F62" s="8">
        <v>90</v>
      </c>
      <c r="G62" s="26">
        <v>297232.82</v>
      </c>
      <c r="H62" s="8">
        <v>3302.586888888889</v>
      </c>
      <c r="I62" s="27"/>
      <c r="J62" s="11"/>
      <c r="K62" s="24"/>
      <c r="L62" s="9"/>
      <c r="M62" s="8"/>
      <c r="N62" s="24" t="s">
        <v>277</v>
      </c>
      <c r="O62" s="24" t="s">
        <v>24</v>
      </c>
      <c r="P62" s="6" t="s">
        <v>19</v>
      </c>
    </row>
    <row r="63" spans="1:16" ht="21" customHeight="1" x14ac:dyDescent="0.2">
      <c r="A63" s="6" t="s">
        <v>17</v>
      </c>
      <c r="B63" s="24" t="s">
        <v>274</v>
      </c>
      <c r="C63" s="6" t="s">
        <v>19</v>
      </c>
      <c r="D63" s="6" t="s">
        <v>180</v>
      </c>
      <c r="E63" s="6" t="s">
        <v>181</v>
      </c>
      <c r="F63" s="8">
        <v>103</v>
      </c>
      <c r="G63" s="26">
        <v>326504.06</v>
      </c>
      <c r="H63" s="8">
        <v>3169.9423300970875</v>
      </c>
      <c r="I63" s="27"/>
      <c r="J63" s="11"/>
      <c r="K63" s="24"/>
      <c r="L63" s="9"/>
      <c r="M63" s="8"/>
      <c r="N63" s="24" t="s">
        <v>277</v>
      </c>
      <c r="O63" s="24" t="s">
        <v>24</v>
      </c>
      <c r="P63" s="6" t="s">
        <v>19</v>
      </c>
    </row>
    <row r="64" spans="1:16" ht="21" customHeight="1" x14ac:dyDescent="0.2">
      <c r="A64" s="6" t="s">
        <v>17</v>
      </c>
      <c r="B64" s="24" t="s">
        <v>274</v>
      </c>
      <c r="C64" s="6" t="s">
        <v>19</v>
      </c>
      <c r="D64" s="6" t="s">
        <v>270</v>
      </c>
      <c r="E64" s="6" t="s">
        <v>271</v>
      </c>
      <c r="F64" s="8">
        <v>99</v>
      </c>
      <c r="G64" s="26">
        <v>311893.61</v>
      </c>
      <c r="H64" s="8">
        <v>3150.4405050505047</v>
      </c>
      <c r="I64" s="27"/>
      <c r="J64" s="11"/>
      <c r="K64" s="24"/>
      <c r="L64" s="9"/>
      <c r="M64" s="8"/>
      <c r="N64" s="24" t="s">
        <v>277</v>
      </c>
      <c r="O64" s="24" t="s">
        <v>24</v>
      </c>
      <c r="P64" s="6" t="s">
        <v>19</v>
      </c>
    </row>
    <row r="65" spans="1:16" ht="21" customHeight="1" x14ac:dyDescent="0.2">
      <c r="A65" s="6" t="s">
        <v>17</v>
      </c>
      <c r="B65" s="24" t="s">
        <v>274</v>
      </c>
      <c r="C65" s="6" t="s">
        <v>19</v>
      </c>
      <c r="D65" s="6" t="s">
        <v>312</v>
      </c>
      <c r="E65" s="6" t="s">
        <v>313</v>
      </c>
      <c r="F65" s="8">
        <v>18</v>
      </c>
      <c r="G65" s="26">
        <v>56052</v>
      </c>
      <c r="H65" s="8">
        <v>3114</v>
      </c>
      <c r="I65" s="27"/>
      <c r="J65" s="11"/>
      <c r="K65" s="24"/>
      <c r="L65" s="9"/>
      <c r="M65" s="8"/>
      <c r="N65" s="24" t="s">
        <v>277</v>
      </c>
      <c r="O65" s="24" t="s">
        <v>24</v>
      </c>
      <c r="P65" s="6" t="s">
        <v>19</v>
      </c>
    </row>
    <row r="66" spans="1:16" ht="21" customHeight="1" x14ac:dyDescent="0.2">
      <c r="A66" s="6" t="s">
        <v>17</v>
      </c>
      <c r="B66" s="24" t="s">
        <v>274</v>
      </c>
      <c r="C66" s="6" t="s">
        <v>19</v>
      </c>
      <c r="D66" s="6" t="s">
        <v>105</v>
      </c>
      <c r="E66" s="6" t="s">
        <v>106</v>
      </c>
      <c r="F66" s="8">
        <v>168</v>
      </c>
      <c r="G66" s="26">
        <v>516504.04</v>
      </c>
      <c r="H66" s="8">
        <v>3074.4288095238094</v>
      </c>
      <c r="I66" s="27"/>
      <c r="J66" s="11"/>
      <c r="K66" s="24"/>
      <c r="L66" s="9"/>
      <c r="M66" s="8"/>
      <c r="N66" s="24" t="s">
        <v>277</v>
      </c>
      <c r="O66" s="24" t="s">
        <v>24</v>
      </c>
      <c r="P66" s="6" t="s">
        <v>19</v>
      </c>
    </row>
    <row r="67" spans="1:16" ht="21" customHeight="1" x14ac:dyDescent="0.2">
      <c r="A67" s="6" t="s">
        <v>17</v>
      </c>
      <c r="B67" s="24" t="s">
        <v>274</v>
      </c>
      <c r="C67" s="6" t="s">
        <v>19</v>
      </c>
      <c r="D67" s="6" t="s">
        <v>187</v>
      </c>
      <c r="E67" s="6" t="s">
        <v>188</v>
      </c>
      <c r="F67" s="8">
        <v>99</v>
      </c>
      <c r="G67" s="26">
        <v>300322.26</v>
      </c>
      <c r="H67" s="8">
        <v>3033.5581818181818</v>
      </c>
      <c r="I67" s="27"/>
      <c r="J67" s="11"/>
      <c r="K67" s="24"/>
      <c r="L67" s="9"/>
      <c r="M67" s="8"/>
      <c r="N67" s="24" t="s">
        <v>277</v>
      </c>
      <c r="O67" s="24" t="s">
        <v>24</v>
      </c>
      <c r="P67" s="6" t="s">
        <v>19</v>
      </c>
    </row>
    <row r="68" spans="1:16" ht="21" customHeight="1" x14ac:dyDescent="0.2">
      <c r="A68" s="6" t="s">
        <v>17</v>
      </c>
      <c r="B68" s="24" t="s">
        <v>274</v>
      </c>
      <c r="C68" s="6" t="s">
        <v>19</v>
      </c>
      <c r="D68" s="6" t="s">
        <v>95</v>
      </c>
      <c r="E68" s="6" t="s">
        <v>96</v>
      </c>
      <c r="F68" s="8">
        <v>263</v>
      </c>
      <c r="G68" s="26">
        <v>781766.01</v>
      </c>
      <c r="H68" s="8">
        <v>2972.4943346007603</v>
      </c>
      <c r="I68" s="27"/>
      <c r="J68" s="11"/>
      <c r="K68" s="24"/>
      <c r="L68" s="9"/>
      <c r="M68" s="8"/>
      <c r="N68" s="24" t="s">
        <v>277</v>
      </c>
      <c r="O68" s="24" t="s">
        <v>24</v>
      </c>
      <c r="P68" s="6" t="s">
        <v>19</v>
      </c>
    </row>
    <row r="69" spans="1:16" ht="21" customHeight="1" x14ac:dyDescent="0.2">
      <c r="A69" s="6" t="s">
        <v>17</v>
      </c>
      <c r="B69" s="24" t="s">
        <v>274</v>
      </c>
      <c r="C69" s="6" t="s">
        <v>19</v>
      </c>
      <c r="D69" s="6" t="s">
        <v>129</v>
      </c>
      <c r="E69" s="6" t="s">
        <v>130</v>
      </c>
      <c r="F69" s="8">
        <v>186</v>
      </c>
      <c r="G69" s="26">
        <v>542163.21</v>
      </c>
      <c r="H69" s="8">
        <v>2914.8559677419353</v>
      </c>
      <c r="I69" s="27"/>
      <c r="J69" s="11"/>
      <c r="K69" s="24"/>
      <c r="L69" s="9"/>
      <c r="M69" s="8"/>
      <c r="N69" s="24" t="s">
        <v>277</v>
      </c>
      <c r="O69" s="24" t="s">
        <v>24</v>
      </c>
      <c r="P69" s="6" t="s">
        <v>19</v>
      </c>
    </row>
    <row r="70" spans="1:16" ht="21" customHeight="1" x14ac:dyDescent="0.2">
      <c r="A70" s="6" t="s">
        <v>17</v>
      </c>
      <c r="B70" s="24" t="s">
        <v>274</v>
      </c>
      <c r="C70" s="6" t="s">
        <v>19</v>
      </c>
      <c r="D70" s="6" t="s">
        <v>314</v>
      </c>
      <c r="E70" s="6" t="s">
        <v>315</v>
      </c>
      <c r="F70" s="8">
        <v>17</v>
      </c>
      <c r="G70" s="26">
        <v>49240</v>
      </c>
      <c r="H70" s="8">
        <v>2896.4705882352941</v>
      </c>
      <c r="I70" s="27"/>
      <c r="J70" s="11"/>
      <c r="K70" s="24"/>
      <c r="L70" s="9"/>
      <c r="M70" s="8"/>
      <c r="N70" s="24" t="s">
        <v>277</v>
      </c>
      <c r="O70" s="24" t="s">
        <v>24</v>
      </c>
      <c r="P70" s="6" t="s">
        <v>19</v>
      </c>
    </row>
    <row r="71" spans="1:16" ht="21" customHeight="1" x14ac:dyDescent="0.2">
      <c r="A71" s="6" t="s">
        <v>17</v>
      </c>
      <c r="B71" s="24" t="s">
        <v>274</v>
      </c>
      <c r="C71" s="6" t="s">
        <v>19</v>
      </c>
      <c r="D71" s="6" t="s">
        <v>316</v>
      </c>
      <c r="E71" s="6" t="s">
        <v>317</v>
      </c>
      <c r="F71" s="8">
        <v>18</v>
      </c>
      <c r="G71" s="26">
        <v>52040</v>
      </c>
      <c r="H71" s="8">
        <v>2891.1111111111113</v>
      </c>
      <c r="I71" s="27"/>
      <c r="J71" s="11"/>
      <c r="K71" s="24"/>
      <c r="L71" s="9"/>
      <c r="M71" s="8"/>
      <c r="N71" s="24" t="s">
        <v>277</v>
      </c>
      <c r="O71" s="24" t="s">
        <v>24</v>
      </c>
      <c r="P71" s="6" t="s">
        <v>19</v>
      </c>
    </row>
    <row r="72" spans="1:16" ht="21" customHeight="1" x14ac:dyDescent="0.2">
      <c r="A72" s="6" t="s">
        <v>17</v>
      </c>
      <c r="B72" s="24" t="s">
        <v>274</v>
      </c>
      <c r="C72" s="6" t="s">
        <v>19</v>
      </c>
      <c r="D72" s="6" t="s">
        <v>99</v>
      </c>
      <c r="E72" s="6" t="s">
        <v>100</v>
      </c>
      <c r="F72" s="8">
        <v>66</v>
      </c>
      <c r="G72" s="26">
        <v>188383.3</v>
      </c>
      <c r="H72" s="8">
        <v>2854.2924242424242</v>
      </c>
      <c r="I72" s="27"/>
      <c r="J72" s="11"/>
      <c r="K72" s="24"/>
      <c r="L72" s="9"/>
      <c r="M72" s="8"/>
      <c r="N72" s="24" t="s">
        <v>277</v>
      </c>
      <c r="O72" s="24" t="s">
        <v>24</v>
      </c>
      <c r="P72" s="6" t="s">
        <v>19</v>
      </c>
    </row>
    <row r="73" spans="1:16" ht="21" customHeight="1" x14ac:dyDescent="0.2">
      <c r="A73" s="6" t="s">
        <v>17</v>
      </c>
      <c r="B73" s="24" t="s">
        <v>274</v>
      </c>
      <c r="C73" s="6" t="s">
        <v>19</v>
      </c>
      <c r="D73" s="6" t="s">
        <v>29</v>
      </c>
      <c r="E73" s="6" t="s">
        <v>30</v>
      </c>
      <c r="F73" s="8">
        <v>93</v>
      </c>
      <c r="G73" s="26">
        <v>257541.79</v>
      </c>
      <c r="H73" s="8">
        <v>2769.2665591397849</v>
      </c>
      <c r="I73" s="27"/>
      <c r="J73" s="11"/>
      <c r="K73" s="24"/>
      <c r="L73" s="9"/>
      <c r="M73" s="8"/>
      <c r="N73" s="24" t="s">
        <v>277</v>
      </c>
      <c r="O73" s="24" t="s">
        <v>24</v>
      </c>
      <c r="P73" s="6" t="s">
        <v>19</v>
      </c>
    </row>
    <row r="74" spans="1:16" ht="21" customHeight="1" x14ac:dyDescent="0.2">
      <c r="A74" s="6" t="s">
        <v>17</v>
      </c>
      <c r="B74" s="24" t="s">
        <v>274</v>
      </c>
      <c r="C74" s="6" t="s">
        <v>19</v>
      </c>
      <c r="D74" s="6" t="s">
        <v>89</v>
      </c>
      <c r="E74" s="6" t="s">
        <v>90</v>
      </c>
      <c r="F74" s="8">
        <v>167</v>
      </c>
      <c r="G74" s="26">
        <v>453871.84</v>
      </c>
      <c r="H74" s="8">
        <v>2717.7954491017967</v>
      </c>
      <c r="I74" s="27"/>
      <c r="J74" s="11"/>
      <c r="K74" s="24"/>
      <c r="L74" s="9"/>
      <c r="M74" s="8"/>
      <c r="N74" s="24" t="s">
        <v>277</v>
      </c>
      <c r="O74" s="24" t="s">
        <v>24</v>
      </c>
      <c r="P74" s="6" t="s">
        <v>19</v>
      </c>
    </row>
    <row r="75" spans="1:16" ht="21" customHeight="1" x14ac:dyDescent="0.2">
      <c r="A75" s="6" t="s">
        <v>17</v>
      </c>
      <c r="B75" s="24" t="s">
        <v>274</v>
      </c>
      <c r="C75" s="6" t="s">
        <v>19</v>
      </c>
      <c r="D75" s="6" t="s">
        <v>224</v>
      </c>
      <c r="E75" s="6" t="s">
        <v>225</v>
      </c>
      <c r="F75" s="8">
        <v>94</v>
      </c>
      <c r="G75" s="26">
        <v>249301.06</v>
      </c>
      <c r="H75" s="8">
        <v>2652.1389361702127</v>
      </c>
      <c r="I75" s="27"/>
      <c r="J75" s="11"/>
      <c r="K75" s="24"/>
      <c r="L75" s="9"/>
      <c r="M75" s="8"/>
      <c r="N75" s="24" t="s">
        <v>277</v>
      </c>
      <c r="O75" s="24" t="s">
        <v>24</v>
      </c>
      <c r="P75" s="6" t="s">
        <v>19</v>
      </c>
    </row>
    <row r="76" spans="1:16" ht="21" customHeight="1" x14ac:dyDescent="0.2">
      <c r="A76" s="6" t="s">
        <v>17</v>
      </c>
      <c r="B76" s="24" t="s">
        <v>274</v>
      </c>
      <c r="C76" s="6" t="s">
        <v>19</v>
      </c>
      <c r="D76" s="6" t="s">
        <v>109</v>
      </c>
      <c r="E76" s="6" t="s">
        <v>110</v>
      </c>
      <c r="F76" s="8">
        <v>166</v>
      </c>
      <c r="G76" s="26">
        <v>431100.39999999997</v>
      </c>
      <c r="H76" s="8">
        <v>2596.990361445783</v>
      </c>
      <c r="I76" s="27"/>
      <c r="J76" s="11"/>
      <c r="K76" s="24"/>
      <c r="L76" s="9"/>
      <c r="M76" s="8"/>
      <c r="N76" s="24" t="s">
        <v>277</v>
      </c>
      <c r="O76" s="24" t="s">
        <v>24</v>
      </c>
      <c r="P76" s="6" t="s">
        <v>19</v>
      </c>
    </row>
    <row r="77" spans="1:16" ht="21" customHeight="1" x14ac:dyDescent="0.2">
      <c r="A77" s="6" t="s">
        <v>17</v>
      </c>
      <c r="B77" s="24" t="s">
        <v>274</v>
      </c>
      <c r="C77" s="6" t="s">
        <v>19</v>
      </c>
      <c r="D77" s="6" t="s">
        <v>87</v>
      </c>
      <c r="E77" s="6" t="s">
        <v>88</v>
      </c>
      <c r="F77" s="8">
        <v>191</v>
      </c>
      <c r="G77" s="26">
        <v>478380.28</v>
      </c>
      <c r="H77" s="8">
        <v>2504.6087958115186</v>
      </c>
      <c r="I77" s="27"/>
      <c r="J77" s="11"/>
      <c r="K77" s="24"/>
      <c r="L77" s="9"/>
      <c r="M77" s="8"/>
      <c r="N77" s="24" t="s">
        <v>277</v>
      </c>
      <c r="O77" s="24" t="s">
        <v>24</v>
      </c>
      <c r="P77" s="6" t="s">
        <v>19</v>
      </c>
    </row>
    <row r="78" spans="1:16" ht="21" customHeight="1" x14ac:dyDescent="0.2">
      <c r="A78" s="6" t="s">
        <v>17</v>
      </c>
      <c r="B78" s="24" t="s">
        <v>274</v>
      </c>
      <c r="C78" s="6" t="s">
        <v>19</v>
      </c>
      <c r="D78" s="6" t="s">
        <v>318</v>
      </c>
      <c r="E78" s="6" t="s">
        <v>319</v>
      </c>
      <c r="F78" s="8">
        <v>122</v>
      </c>
      <c r="G78" s="26">
        <v>302862.77</v>
      </c>
      <c r="H78" s="8">
        <v>2482.4817213114757</v>
      </c>
      <c r="I78" s="27"/>
      <c r="J78" s="11"/>
      <c r="K78" s="24"/>
      <c r="L78" s="9"/>
      <c r="M78" s="8"/>
      <c r="N78" s="24" t="s">
        <v>277</v>
      </c>
      <c r="O78" s="24" t="s">
        <v>24</v>
      </c>
      <c r="P78" s="6" t="s">
        <v>19</v>
      </c>
    </row>
    <row r="79" spans="1:16" ht="21" customHeight="1" x14ac:dyDescent="0.2">
      <c r="A79" s="6" t="s">
        <v>17</v>
      </c>
      <c r="B79" s="24" t="s">
        <v>274</v>
      </c>
      <c r="C79" s="6" t="s">
        <v>19</v>
      </c>
      <c r="D79" s="6" t="s">
        <v>320</v>
      </c>
      <c r="E79" s="6" t="s">
        <v>321</v>
      </c>
      <c r="F79" s="8">
        <v>20</v>
      </c>
      <c r="G79" s="26">
        <v>49644</v>
      </c>
      <c r="H79" s="8">
        <v>2482.1999999999998</v>
      </c>
      <c r="I79" s="27"/>
      <c r="J79" s="11"/>
      <c r="K79" s="24"/>
      <c r="L79" s="9"/>
      <c r="M79" s="8"/>
      <c r="N79" s="24" t="s">
        <v>277</v>
      </c>
      <c r="O79" s="24" t="s">
        <v>24</v>
      </c>
      <c r="P79" s="6" t="s">
        <v>19</v>
      </c>
    </row>
    <row r="80" spans="1:16" ht="21" customHeight="1" x14ac:dyDescent="0.2">
      <c r="A80" s="6" t="s">
        <v>17</v>
      </c>
      <c r="B80" s="24" t="s">
        <v>274</v>
      </c>
      <c r="C80" s="6" t="s">
        <v>19</v>
      </c>
      <c r="D80" s="6" t="s">
        <v>191</v>
      </c>
      <c r="E80" s="6" t="s">
        <v>192</v>
      </c>
      <c r="F80" s="8">
        <v>95</v>
      </c>
      <c r="G80" s="26">
        <v>233048.09999999998</v>
      </c>
      <c r="H80" s="8">
        <v>2453.1378947368416</v>
      </c>
      <c r="I80" s="27"/>
      <c r="J80" s="11"/>
      <c r="K80" s="24"/>
      <c r="L80" s="9"/>
      <c r="M80" s="8"/>
      <c r="N80" s="24" t="s">
        <v>277</v>
      </c>
      <c r="O80" s="24" t="s">
        <v>24</v>
      </c>
      <c r="P80" s="6" t="s">
        <v>19</v>
      </c>
    </row>
    <row r="81" spans="1:16" ht="21" customHeight="1" x14ac:dyDescent="0.2">
      <c r="A81" s="6" t="s">
        <v>17</v>
      </c>
      <c r="B81" s="24" t="s">
        <v>274</v>
      </c>
      <c r="C81" s="6" t="s">
        <v>19</v>
      </c>
      <c r="D81" s="6" t="s">
        <v>67</v>
      </c>
      <c r="E81" s="6" t="s">
        <v>68</v>
      </c>
      <c r="F81" s="8">
        <v>192</v>
      </c>
      <c r="G81" s="26">
        <v>468012.34999999992</v>
      </c>
      <c r="H81" s="8">
        <v>2437.5643229166662</v>
      </c>
      <c r="I81" s="27"/>
      <c r="J81" s="11"/>
      <c r="K81" s="24"/>
      <c r="L81" s="9"/>
      <c r="M81" s="8"/>
      <c r="N81" s="24" t="s">
        <v>277</v>
      </c>
      <c r="O81" s="24" t="s">
        <v>24</v>
      </c>
      <c r="P81" s="6" t="s">
        <v>19</v>
      </c>
    </row>
    <row r="82" spans="1:16" ht="21" customHeight="1" x14ac:dyDescent="0.2">
      <c r="A82" s="6" t="s">
        <v>17</v>
      </c>
      <c r="B82" s="24" t="s">
        <v>274</v>
      </c>
      <c r="C82" s="6" t="s">
        <v>19</v>
      </c>
      <c r="D82" s="6" t="s">
        <v>322</v>
      </c>
      <c r="E82" s="6" t="s">
        <v>323</v>
      </c>
      <c r="F82" s="8">
        <v>39</v>
      </c>
      <c r="G82" s="26">
        <v>93722.49</v>
      </c>
      <c r="H82" s="8">
        <v>2403.1407692307694</v>
      </c>
      <c r="I82" s="27"/>
      <c r="J82" s="11"/>
      <c r="K82" s="24"/>
      <c r="L82" s="9"/>
      <c r="M82" s="8"/>
      <c r="N82" s="24" t="s">
        <v>277</v>
      </c>
      <c r="O82" s="24" t="s">
        <v>24</v>
      </c>
      <c r="P82" s="6" t="s">
        <v>19</v>
      </c>
    </row>
    <row r="83" spans="1:16" ht="21" customHeight="1" x14ac:dyDescent="0.2">
      <c r="A83" s="6" t="s">
        <v>17</v>
      </c>
      <c r="B83" s="24" t="s">
        <v>274</v>
      </c>
      <c r="C83" s="6" t="s">
        <v>19</v>
      </c>
      <c r="D83" s="6" t="s">
        <v>21</v>
      </c>
      <c r="E83" s="6" t="s">
        <v>22</v>
      </c>
      <c r="F83" s="8">
        <v>201</v>
      </c>
      <c r="G83" s="26">
        <v>482016.35</v>
      </c>
      <c r="H83" s="8">
        <v>2398.0912935323381</v>
      </c>
      <c r="I83" s="27"/>
      <c r="J83" s="11"/>
      <c r="K83" s="24"/>
      <c r="L83" s="9"/>
      <c r="M83" s="8"/>
      <c r="N83" s="24" t="s">
        <v>277</v>
      </c>
      <c r="O83" s="24" t="s">
        <v>24</v>
      </c>
      <c r="P83" s="6" t="s">
        <v>19</v>
      </c>
    </row>
    <row r="84" spans="1:16" ht="21" customHeight="1" x14ac:dyDescent="0.2">
      <c r="A84" s="6" t="s">
        <v>17</v>
      </c>
      <c r="B84" s="24" t="s">
        <v>274</v>
      </c>
      <c r="C84" s="6" t="s">
        <v>19</v>
      </c>
      <c r="D84" s="6" t="s">
        <v>324</v>
      </c>
      <c r="E84" s="6" t="s">
        <v>325</v>
      </c>
      <c r="F84" s="8">
        <v>50</v>
      </c>
      <c r="G84" s="26">
        <v>119862.21</v>
      </c>
      <c r="H84" s="8">
        <v>2397.2442000000001</v>
      </c>
      <c r="I84" s="27"/>
      <c r="J84" s="11"/>
      <c r="K84" s="24"/>
      <c r="L84" s="9"/>
      <c r="M84" s="8"/>
      <c r="N84" s="24" t="s">
        <v>277</v>
      </c>
      <c r="O84" s="24" t="s">
        <v>24</v>
      </c>
      <c r="P84" s="6" t="s">
        <v>19</v>
      </c>
    </row>
    <row r="85" spans="1:16" ht="21" customHeight="1" x14ac:dyDescent="0.2">
      <c r="A85" s="6" t="s">
        <v>17</v>
      </c>
      <c r="B85" s="24" t="s">
        <v>274</v>
      </c>
      <c r="C85" s="6" t="s">
        <v>19</v>
      </c>
      <c r="D85" s="6" t="s">
        <v>195</v>
      </c>
      <c r="E85" s="6" t="s">
        <v>196</v>
      </c>
      <c r="F85" s="8">
        <v>91</v>
      </c>
      <c r="G85" s="26">
        <v>217010.63</v>
      </c>
      <c r="H85" s="8">
        <v>2384.7321978021978</v>
      </c>
      <c r="I85" s="27"/>
      <c r="J85" s="11"/>
      <c r="K85" s="24"/>
      <c r="L85" s="9"/>
      <c r="M85" s="8"/>
      <c r="N85" s="24" t="s">
        <v>277</v>
      </c>
      <c r="O85" s="24" t="s">
        <v>24</v>
      </c>
      <c r="P85" s="6" t="s">
        <v>19</v>
      </c>
    </row>
    <row r="86" spans="1:16" ht="21" customHeight="1" x14ac:dyDescent="0.2">
      <c r="A86" s="6" t="s">
        <v>17</v>
      </c>
      <c r="B86" s="24" t="s">
        <v>274</v>
      </c>
      <c r="C86" s="6" t="s">
        <v>19</v>
      </c>
      <c r="D86" s="6" t="s">
        <v>127</v>
      </c>
      <c r="E86" s="6" t="s">
        <v>128</v>
      </c>
      <c r="F86" s="8">
        <v>129</v>
      </c>
      <c r="G86" s="26">
        <v>297767.8</v>
      </c>
      <c r="H86" s="8">
        <v>2308.2775193798448</v>
      </c>
      <c r="I86" s="27">
        <v>1</v>
      </c>
      <c r="J86" s="11">
        <v>0</v>
      </c>
      <c r="K86" s="24">
        <v>0</v>
      </c>
      <c r="L86" s="9">
        <v>5500</v>
      </c>
      <c r="M86" s="8">
        <v>5500</v>
      </c>
      <c r="N86" s="24" t="s">
        <v>277</v>
      </c>
      <c r="O86" s="24" t="s">
        <v>24</v>
      </c>
      <c r="P86" s="6" t="s">
        <v>19</v>
      </c>
    </row>
    <row r="87" spans="1:16" ht="21" customHeight="1" x14ac:dyDescent="0.2">
      <c r="A87" s="6" t="s">
        <v>17</v>
      </c>
      <c r="B87" s="24" t="s">
        <v>274</v>
      </c>
      <c r="C87" s="6" t="s">
        <v>19</v>
      </c>
      <c r="D87" s="6" t="s">
        <v>143</v>
      </c>
      <c r="E87" s="6" t="s">
        <v>144</v>
      </c>
      <c r="F87" s="8">
        <v>98</v>
      </c>
      <c r="G87" s="26">
        <v>210236.19</v>
      </c>
      <c r="H87" s="8">
        <v>2145.2672448979592</v>
      </c>
      <c r="I87" s="27"/>
      <c r="J87" s="11"/>
      <c r="K87" s="24"/>
      <c r="L87" s="9"/>
      <c r="M87" s="8"/>
      <c r="N87" s="24" t="s">
        <v>277</v>
      </c>
      <c r="O87" s="24" t="s">
        <v>24</v>
      </c>
      <c r="P87" s="6" t="s">
        <v>19</v>
      </c>
    </row>
    <row r="88" spans="1:16" ht="21" customHeight="1" x14ac:dyDescent="0.2">
      <c r="A88" s="6" t="s">
        <v>17</v>
      </c>
      <c r="B88" s="24" t="s">
        <v>274</v>
      </c>
      <c r="C88" s="6" t="s">
        <v>19</v>
      </c>
      <c r="D88" s="6" t="s">
        <v>210</v>
      </c>
      <c r="E88" s="6" t="s">
        <v>211</v>
      </c>
      <c r="F88" s="8">
        <v>153</v>
      </c>
      <c r="G88" s="26">
        <v>310528.3</v>
      </c>
      <c r="H88" s="8">
        <v>2029.5967320261436</v>
      </c>
      <c r="I88" s="27"/>
      <c r="J88" s="11"/>
      <c r="K88" s="24"/>
      <c r="L88" s="9"/>
      <c r="M88" s="8"/>
      <c r="N88" s="24" t="s">
        <v>277</v>
      </c>
      <c r="O88" s="24" t="s">
        <v>24</v>
      </c>
      <c r="P88" s="6" t="s">
        <v>19</v>
      </c>
    </row>
    <row r="89" spans="1:16" ht="21" customHeight="1" x14ac:dyDescent="0.2">
      <c r="A89" s="6" t="s">
        <v>17</v>
      </c>
      <c r="B89" s="24" t="s">
        <v>274</v>
      </c>
      <c r="C89" s="6" t="s">
        <v>19</v>
      </c>
      <c r="D89" s="6" t="s">
        <v>326</v>
      </c>
      <c r="E89" s="6" t="s">
        <v>327</v>
      </c>
      <c r="F89" s="8">
        <v>19</v>
      </c>
      <c r="G89" s="26">
        <v>38214.04</v>
      </c>
      <c r="H89" s="8">
        <v>2011.2652631578949</v>
      </c>
      <c r="I89" s="27"/>
      <c r="J89" s="11"/>
      <c r="K89" s="24"/>
      <c r="L89" s="9"/>
      <c r="M89" s="8"/>
      <c r="N89" s="24" t="s">
        <v>277</v>
      </c>
      <c r="O89" s="24" t="s">
        <v>24</v>
      </c>
      <c r="P89" s="6" t="s">
        <v>19</v>
      </c>
    </row>
    <row r="90" spans="1:16" ht="21" customHeight="1" x14ac:dyDescent="0.2">
      <c r="A90" s="6" t="s">
        <v>17</v>
      </c>
      <c r="B90" s="24" t="s">
        <v>274</v>
      </c>
      <c r="C90" s="6" t="s">
        <v>19</v>
      </c>
      <c r="D90" s="6" t="s">
        <v>193</v>
      </c>
      <c r="E90" s="6" t="s">
        <v>194</v>
      </c>
      <c r="F90" s="8">
        <v>86</v>
      </c>
      <c r="G90" s="26">
        <v>170772.66999999998</v>
      </c>
      <c r="H90" s="8">
        <v>1985.7287209302324</v>
      </c>
      <c r="I90" s="27"/>
      <c r="J90" s="11"/>
      <c r="K90" s="24"/>
      <c r="L90" s="9"/>
      <c r="M90" s="8"/>
      <c r="N90" s="24" t="s">
        <v>277</v>
      </c>
      <c r="O90" s="24" t="s">
        <v>24</v>
      </c>
      <c r="P90" s="6" t="s">
        <v>19</v>
      </c>
    </row>
    <row r="91" spans="1:16" ht="21" customHeight="1" x14ac:dyDescent="0.2">
      <c r="A91" s="6" t="s">
        <v>17</v>
      </c>
      <c r="B91" s="24" t="s">
        <v>274</v>
      </c>
      <c r="C91" s="6" t="s">
        <v>19</v>
      </c>
      <c r="D91" s="6" t="s">
        <v>328</v>
      </c>
      <c r="E91" s="6" t="s">
        <v>329</v>
      </c>
      <c r="F91" s="8">
        <v>39</v>
      </c>
      <c r="G91" s="26">
        <v>73133.459999999992</v>
      </c>
      <c r="H91" s="8">
        <v>1875.216923076923</v>
      </c>
      <c r="I91" s="27"/>
      <c r="J91" s="11"/>
      <c r="K91" s="24"/>
      <c r="L91" s="9"/>
      <c r="M91" s="8"/>
      <c r="N91" s="24" t="s">
        <v>277</v>
      </c>
      <c r="O91" s="24" t="s">
        <v>24</v>
      </c>
      <c r="P91" s="6" t="s">
        <v>19</v>
      </c>
    </row>
    <row r="92" spans="1:16" ht="21" customHeight="1" x14ac:dyDescent="0.2">
      <c r="A92" s="6" t="s">
        <v>17</v>
      </c>
      <c r="B92" s="24" t="s">
        <v>274</v>
      </c>
      <c r="C92" s="6" t="s">
        <v>19</v>
      </c>
      <c r="D92" s="6" t="s">
        <v>330</v>
      </c>
      <c r="E92" s="6" t="s">
        <v>331</v>
      </c>
      <c r="F92" s="8">
        <v>36</v>
      </c>
      <c r="G92" s="26">
        <v>65318</v>
      </c>
      <c r="H92" s="8">
        <v>1814.3888888888889</v>
      </c>
      <c r="I92" s="27"/>
      <c r="J92" s="11"/>
      <c r="K92" s="24"/>
      <c r="L92" s="9"/>
      <c r="M92" s="8"/>
      <c r="N92" s="24" t="s">
        <v>277</v>
      </c>
      <c r="O92" s="24" t="s">
        <v>24</v>
      </c>
      <c r="P92" s="6" t="s">
        <v>19</v>
      </c>
    </row>
    <row r="93" spans="1:16" ht="21" customHeight="1" x14ac:dyDescent="0.2">
      <c r="A93" s="6" t="s">
        <v>17</v>
      </c>
      <c r="B93" s="24" t="s">
        <v>274</v>
      </c>
      <c r="C93" s="6" t="s">
        <v>19</v>
      </c>
      <c r="D93" s="6" t="s">
        <v>332</v>
      </c>
      <c r="E93" s="6" t="s">
        <v>333</v>
      </c>
      <c r="F93" s="8">
        <v>39</v>
      </c>
      <c r="G93" s="26">
        <v>70082.98</v>
      </c>
      <c r="H93" s="8">
        <v>1796.999487179487</v>
      </c>
      <c r="I93" s="27"/>
      <c r="J93" s="11"/>
      <c r="K93" s="24"/>
      <c r="L93" s="9"/>
      <c r="M93" s="8"/>
      <c r="N93" s="24" t="s">
        <v>277</v>
      </c>
      <c r="O93" s="24" t="s">
        <v>24</v>
      </c>
      <c r="P93" s="6" t="s">
        <v>19</v>
      </c>
    </row>
    <row r="94" spans="1:16" ht="21" customHeight="1" x14ac:dyDescent="0.2">
      <c r="A94" s="6" t="s">
        <v>17</v>
      </c>
      <c r="B94" s="24" t="s">
        <v>274</v>
      </c>
      <c r="C94" s="6" t="s">
        <v>19</v>
      </c>
      <c r="D94" s="6" t="s">
        <v>177</v>
      </c>
      <c r="E94" s="6" t="s">
        <v>178</v>
      </c>
      <c r="F94" s="8">
        <v>149</v>
      </c>
      <c r="G94" s="26">
        <v>238344</v>
      </c>
      <c r="H94" s="8">
        <v>1599.6241610738255</v>
      </c>
      <c r="I94" s="27"/>
      <c r="J94" s="11"/>
      <c r="K94" s="24"/>
      <c r="L94" s="9"/>
      <c r="M94" s="8"/>
      <c r="N94" s="24" t="s">
        <v>277</v>
      </c>
      <c r="O94" s="24" t="s">
        <v>24</v>
      </c>
      <c r="P94" s="6" t="s">
        <v>19</v>
      </c>
    </row>
    <row r="95" spans="1:16" ht="21" customHeight="1" x14ac:dyDescent="0.2">
      <c r="A95" s="6" t="s">
        <v>17</v>
      </c>
      <c r="B95" s="24" t="s">
        <v>274</v>
      </c>
      <c r="C95" s="6" t="s">
        <v>19</v>
      </c>
      <c r="D95" s="6" t="s">
        <v>334</v>
      </c>
      <c r="E95" s="6" t="s">
        <v>335</v>
      </c>
      <c r="F95" s="8">
        <v>15</v>
      </c>
      <c r="G95" s="26">
        <v>22134.989999999998</v>
      </c>
      <c r="H95" s="8">
        <v>1475.6659999999999</v>
      </c>
      <c r="I95" s="27"/>
      <c r="J95" s="11"/>
      <c r="K95" s="24"/>
      <c r="L95" s="9"/>
      <c r="M95" s="8"/>
      <c r="N95" s="24" t="s">
        <v>277</v>
      </c>
      <c r="O95" s="24" t="s">
        <v>24</v>
      </c>
      <c r="P95" s="6" t="s">
        <v>19</v>
      </c>
    </row>
    <row r="96" spans="1:16" ht="21" customHeight="1" x14ac:dyDescent="0.2">
      <c r="A96" s="6" t="s">
        <v>17</v>
      </c>
      <c r="B96" s="24" t="s">
        <v>274</v>
      </c>
      <c r="C96" s="6" t="s">
        <v>19</v>
      </c>
      <c r="D96" s="6" t="s">
        <v>336</v>
      </c>
      <c r="E96" s="6" t="s">
        <v>337</v>
      </c>
      <c r="F96" s="8">
        <v>135</v>
      </c>
      <c r="G96" s="26">
        <v>181018.56</v>
      </c>
      <c r="H96" s="8">
        <v>1340.8782222222221</v>
      </c>
      <c r="I96" s="27"/>
      <c r="J96" s="11"/>
      <c r="K96" s="24"/>
      <c r="L96" s="9"/>
      <c r="M96" s="8"/>
      <c r="N96" s="24" t="s">
        <v>277</v>
      </c>
      <c r="O96" s="24" t="s">
        <v>24</v>
      </c>
      <c r="P96" s="6" t="s">
        <v>19</v>
      </c>
    </row>
    <row r="97" spans="1:16" ht="21" customHeight="1" x14ac:dyDescent="0.2">
      <c r="A97" s="6" t="s">
        <v>17</v>
      </c>
      <c r="B97" s="24" t="s">
        <v>274</v>
      </c>
      <c r="C97" s="6" t="s">
        <v>19</v>
      </c>
      <c r="D97" s="6" t="s">
        <v>338</v>
      </c>
      <c r="E97" s="6" t="s">
        <v>339</v>
      </c>
      <c r="F97" s="8">
        <v>15</v>
      </c>
      <c r="G97" s="26">
        <v>19869</v>
      </c>
      <c r="H97" s="8">
        <v>1324.6</v>
      </c>
      <c r="I97" s="27"/>
      <c r="J97" s="11"/>
      <c r="K97" s="24"/>
      <c r="L97" s="9"/>
      <c r="M97" s="8"/>
      <c r="N97" s="24" t="s">
        <v>277</v>
      </c>
      <c r="O97" s="24" t="s">
        <v>24</v>
      </c>
      <c r="P97" s="6" t="s">
        <v>19</v>
      </c>
    </row>
    <row r="98" spans="1:16" ht="21" customHeight="1" x14ac:dyDescent="0.2">
      <c r="A98" s="6" t="s">
        <v>17</v>
      </c>
      <c r="B98" s="24" t="s">
        <v>274</v>
      </c>
      <c r="C98" s="6" t="s">
        <v>19</v>
      </c>
      <c r="D98" s="6" t="s">
        <v>340</v>
      </c>
      <c r="E98" s="6" t="s">
        <v>341</v>
      </c>
      <c r="F98" s="8">
        <v>11</v>
      </c>
      <c r="G98" s="26">
        <v>14373</v>
      </c>
      <c r="H98" s="8">
        <v>1306.6363636363637</v>
      </c>
      <c r="I98" s="27"/>
      <c r="J98" s="11"/>
      <c r="K98" s="24"/>
      <c r="L98" s="9"/>
      <c r="M98" s="8"/>
      <c r="N98" s="24" t="s">
        <v>277</v>
      </c>
      <c r="O98" s="24" t="s">
        <v>24</v>
      </c>
      <c r="P98" s="6" t="s">
        <v>19</v>
      </c>
    </row>
    <row r="99" spans="1:16" ht="21" customHeight="1" x14ac:dyDescent="0.2">
      <c r="A99" s="6" t="s">
        <v>17</v>
      </c>
      <c r="B99" s="24" t="s">
        <v>274</v>
      </c>
      <c r="C99" s="6" t="s">
        <v>19</v>
      </c>
      <c r="D99" s="6" t="s">
        <v>342</v>
      </c>
      <c r="E99" s="6" t="s">
        <v>343</v>
      </c>
      <c r="F99" s="8">
        <v>16</v>
      </c>
      <c r="G99" s="26">
        <v>18373</v>
      </c>
      <c r="H99" s="8">
        <v>1148.3125</v>
      </c>
      <c r="I99" s="27"/>
      <c r="J99" s="11"/>
      <c r="K99" s="24"/>
      <c r="L99" s="9"/>
      <c r="M99" s="8"/>
      <c r="N99" s="24" t="s">
        <v>277</v>
      </c>
      <c r="O99" s="24" t="s">
        <v>24</v>
      </c>
      <c r="P99" s="6" t="s">
        <v>19</v>
      </c>
    </row>
    <row r="100" spans="1:16" ht="21" customHeight="1" x14ac:dyDescent="0.2">
      <c r="A100" s="6" t="s">
        <v>17</v>
      </c>
      <c r="B100" s="24" t="s">
        <v>274</v>
      </c>
      <c r="C100" s="6" t="s">
        <v>19</v>
      </c>
      <c r="D100" s="6" t="s">
        <v>159</v>
      </c>
      <c r="E100" s="6" t="s">
        <v>160</v>
      </c>
      <c r="F100" s="8">
        <v>158</v>
      </c>
      <c r="G100" s="26">
        <v>167283.07</v>
      </c>
      <c r="H100" s="8">
        <v>1058.7536075949367</v>
      </c>
      <c r="I100" s="27"/>
      <c r="J100" s="11"/>
      <c r="K100" s="24"/>
      <c r="L100" s="9"/>
      <c r="M100" s="8"/>
      <c r="N100" s="24" t="s">
        <v>277</v>
      </c>
      <c r="O100" s="24" t="s">
        <v>24</v>
      </c>
      <c r="P100" s="6" t="s">
        <v>19</v>
      </c>
    </row>
    <row r="101" spans="1:16" ht="21" customHeight="1" x14ac:dyDescent="0.2">
      <c r="A101" s="6" t="s">
        <v>17</v>
      </c>
      <c r="B101" s="24" t="s">
        <v>274</v>
      </c>
      <c r="C101" s="6" t="s">
        <v>19</v>
      </c>
      <c r="D101" s="6" t="s">
        <v>214</v>
      </c>
      <c r="E101" s="6" t="s">
        <v>215</v>
      </c>
      <c r="F101" s="8">
        <v>2</v>
      </c>
      <c r="G101" s="26">
        <v>2108</v>
      </c>
      <c r="H101" s="8">
        <v>1054</v>
      </c>
      <c r="I101" s="27"/>
      <c r="J101" s="11"/>
      <c r="K101" s="24"/>
      <c r="L101" s="9"/>
      <c r="M101" s="8"/>
      <c r="N101" s="24" t="s">
        <v>277</v>
      </c>
      <c r="O101" s="24" t="s">
        <v>24</v>
      </c>
      <c r="P101" s="6" t="s">
        <v>19</v>
      </c>
    </row>
    <row r="102" spans="1:16" ht="21" customHeight="1" x14ac:dyDescent="0.2">
      <c r="A102" s="6" t="s">
        <v>17</v>
      </c>
      <c r="B102" s="24" t="s">
        <v>274</v>
      </c>
      <c r="C102" s="6" t="s">
        <v>19</v>
      </c>
      <c r="D102" s="6" t="s">
        <v>344</v>
      </c>
      <c r="E102" s="6" t="s">
        <v>345</v>
      </c>
      <c r="F102" s="8">
        <v>17</v>
      </c>
      <c r="G102" s="26">
        <v>9758</v>
      </c>
      <c r="H102" s="8">
        <v>574</v>
      </c>
      <c r="I102" s="27"/>
      <c r="J102" s="11"/>
      <c r="K102" s="24"/>
      <c r="L102" s="9"/>
      <c r="M102" s="8"/>
      <c r="N102" s="24" t="s">
        <v>277</v>
      </c>
      <c r="O102" s="24" t="s">
        <v>24</v>
      </c>
      <c r="P102" s="6" t="s">
        <v>19</v>
      </c>
    </row>
    <row r="103" spans="1:16" ht="21" customHeight="1" x14ac:dyDescent="0.2">
      <c r="A103" s="6" t="s">
        <v>17</v>
      </c>
      <c r="B103" s="24" t="s">
        <v>274</v>
      </c>
      <c r="C103" s="6" t="s">
        <v>19</v>
      </c>
      <c r="D103" s="6" t="s">
        <v>97</v>
      </c>
      <c r="E103" s="6" t="s">
        <v>98</v>
      </c>
      <c r="F103" s="8">
        <v>112</v>
      </c>
      <c r="G103" s="26">
        <v>52848</v>
      </c>
      <c r="H103" s="8">
        <v>471.85714285714283</v>
      </c>
      <c r="I103" s="27"/>
      <c r="J103" s="11"/>
      <c r="K103" s="24"/>
      <c r="L103" s="9"/>
      <c r="M103" s="8"/>
      <c r="N103" s="24" t="s">
        <v>277</v>
      </c>
      <c r="O103" s="24" t="s">
        <v>24</v>
      </c>
      <c r="P103" s="6" t="s">
        <v>19</v>
      </c>
    </row>
    <row r="104" spans="1:16" ht="21" customHeight="1" x14ac:dyDescent="0.2">
      <c r="A104" s="6" t="s">
        <v>17</v>
      </c>
      <c r="B104" s="24" t="s">
        <v>274</v>
      </c>
      <c r="C104" s="6" t="s">
        <v>19</v>
      </c>
      <c r="D104" s="6" t="s">
        <v>41</v>
      </c>
      <c r="E104" s="6" t="s">
        <v>42</v>
      </c>
      <c r="F104" s="8">
        <v>36</v>
      </c>
      <c r="G104" s="26">
        <v>15461</v>
      </c>
      <c r="H104" s="8">
        <v>429.47222222222223</v>
      </c>
      <c r="I104" s="27"/>
      <c r="J104" s="11"/>
      <c r="K104" s="24"/>
      <c r="L104" s="9"/>
      <c r="M104" s="8"/>
      <c r="N104" s="24" t="s">
        <v>277</v>
      </c>
      <c r="O104" s="24" t="s">
        <v>24</v>
      </c>
      <c r="P104" s="6" t="s">
        <v>19</v>
      </c>
    </row>
    <row r="105" spans="1:16" ht="21" customHeight="1" x14ac:dyDescent="0.2">
      <c r="A105" s="6" t="s">
        <v>17</v>
      </c>
      <c r="B105" s="24" t="s">
        <v>274</v>
      </c>
      <c r="C105" s="6" t="s">
        <v>19</v>
      </c>
      <c r="D105" s="6" t="s">
        <v>37</v>
      </c>
      <c r="E105" s="6" t="s">
        <v>38</v>
      </c>
      <c r="F105" s="8">
        <v>60</v>
      </c>
      <c r="G105" s="26">
        <v>25000</v>
      </c>
      <c r="H105" s="8">
        <v>416.66666666666669</v>
      </c>
      <c r="I105" s="27"/>
      <c r="J105" s="11"/>
      <c r="K105" s="24"/>
      <c r="L105" s="9"/>
      <c r="M105" s="8"/>
      <c r="N105" s="24" t="s">
        <v>277</v>
      </c>
      <c r="O105" s="24" t="s">
        <v>24</v>
      </c>
      <c r="P105" s="6" t="s">
        <v>19</v>
      </c>
    </row>
    <row r="106" spans="1:16" ht="21" customHeight="1" x14ac:dyDescent="0.2">
      <c r="A106" s="6" t="s">
        <v>17</v>
      </c>
      <c r="B106" s="24" t="s">
        <v>274</v>
      </c>
      <c r="C106" s="6" t="s">
        <v>19</v>
      </c>
      <c r="D106" s="6" t="s">
        <v>123</v>
      </c>
      <c r="E106" s="6" t="s">
        <v>124</v>
      </c>
      <c r="F106" s="8">
        <v>72</v>
      </c>
      <c r="G106" s="26">
        <v>14591</v>
      </c>
      <c r="H106" s="8">
        <v>202.65277777777777</v>
      </c>
      <c r="I106" s="27"/>
      <c r="J106" s="11"/>
      <c r="K106" s="24"/>
      <c r="L106" s="9"/>
      <c r="M106" s="8"/>
      <c r="N106" s="24" t="s">
        <v>277</v>
      </c>
      <c r="O106" s="24" t="s">
        <v>24</v>
      </c>
      <c r="P106" s="6" t="s">
        <v>19</v>
      </c>
    </row>
    <row r="107" spans="1:16" ht="21" customHeight="1" x14ac:dyDescent="0.2">
      <c r="A107" s="6" t="s">
        <v>17</v>
      </c>
      <c r="B107" s="24" t="s">
        <v>274</v>
      </c>
      <c r="C107" s="6" t="s">
        <v>19</v>
      </c>
      <c r="D107" s="6" t="s">
        <v>346</v>
      </c>
      <c r="E107" s="6" t="s">
        <v>347</v>
      </c>
      <c r="F107" s="8">
        <v>4</v>
      </c>
      <c r="G107" s="26">
        <v>135</v>
      </c>
      <c r="H107" s="8">
        <v>33.75</v>
      </c>
      <c r="I107" s="27"/>
      <c r="J107" s="11"/>
      <c r="K107" s="24"/>
      <c r="L107" s="9"/>
      <c r="M107" s="8"/>
      <c r="N107" s="24" t="s">
        <v>277</v>
      </c>
      <c r="O107" s="24" t="s">
        <v>24</v>
      </c>
      <c r="P107" s="6" t="s">
        <v>19</v>
      </c>
    </row>
    <row r="108" spans="1:16" ht="21" customHeight="1" x14ac:dyDescent="0.2">
      <c r="A108" s="6" t="s">
        <v>17</v>
      </c>
      <c r="B108" s="24" t="s">
        <v>274</v>
      </c>
      <c r="C108" s="6" t="s">
        <v>19</v>
      </c>
      <c r="D108" s="6" t="s">
        <v>348</v>
      </c>
      <c r="E108" s="6" t="s">
        <v>349</v>
      </c>
      <c r="F108" s="8">
        <v>1</v>
      </c>
      <c r="G108" s="26"/>
      <c r="H108" s="8"/>
      <c r="I108" s="27"/>
      <c r="J108" s="11"/>
      <c r="K108" s="24"/>
      <c r="L108" s="9"/>
      <c r="M108" s="8"/>
      <c r="N108" s="24" t="s">
        <v>277</v>
      </c>
      <c r="O108" s="24" t="s">
        <v>24</v>
      </c>
      <c r="P108" s="6" t="s">
        <v>19</v>
      </c>
    </row>
    <row r="109" spans="1:16" ht="21" customHeight="1" x14ac:dyDescent="0.2">
      <c r="A109" s="6" t="s">
        <v>17</v>
      </c>
      <c r="B109" s="24" t="s">
        <v>274</v>
      </c>
      <c r="C109" s="6" t="s">
        <v>19</v>
      </c>
      <c r="D109" s="6" t="s">
        <v>206</v>
      </c>
      <c r="E109" s="6" t="s">
        <v>207</v>
      </c>
      <c r="F109" s="8">
        <v>2</v>
      </c>
      <c r="G109" s="26"/>
      <c r="H109" s="8"/>
      <c r="I109" s="27"/>
      <c r="J109" s="11"/>
      <c r="K109" s="24"/>
      <c r="L109" s="9"/>
      <c r="M109" s="8"/>
      <c r="N109" s="24" t="s">
        <v>277</v>
      </c>
      <c r="O109" s="24" t="s">
        <v>24</v>
      </c>
      <c r="P109" s="6" t="s">
        <v>19</v>
      </c>
    </row>
    <row r="110" spans="1:16" ht="21" customHeight="1" x14ac:dyDescent="0.2">
      <c r="A110" s="6" t="s">
        <v>17</v>
      </c>
      <c r="B110" s="24" t="s">
        <v>274</v>
      </c>
      <c r="C110" s="6" t="s">
        <v>19</v>
      </c>
      <c r="D110" s="6" t="s">
        <v>117</v>
      </c>
      <c r="E110" s="6" t="s">
        <v>118</v>
      </c>
      <c r="F110" s="8">
        <v>1</v>
      </c>
      <c r="G110" s="26"/>
      <c r="H110" s="8"/>
      <c r="I110" s="27"/>
      <c r="J110" s="11"/>
      <c r="K110" s="24"/>
      <c r="L110" s="9"/>
      <c r="M110" s="8"/>
      <c r="N110" s="24" t="s">
        <v>277</v>
      </c>
      <c r="O110" s="24" t="s">
        <v>24</v>
      </c>
      <c r="P110" s="6" t="s">
        <v>19</v>
      </c>
    </row>
    <row r="111" spans="1:16" ht="21" customHeight="1" x14ac:dyDescent="0.2">
      <c r="A111" s="6" t="s">
        <v>17</v>
      </c>
      <c r="B111" s="24" t="s">
        <v>274</v>
      </c>
      <c r="C111" s="6" t="s">
        <v>19</v>
      </c>
      <c r="D111" s="6" t="s">
        <v>350</v>
      </c>
      <c r="E111" s="6" t="s">
        <v>351</v>
      </c>
      <c r="F111" s="8">
        <v>3</v>
      </c>
      <c r="G111" s="26"/>
      <c r="H111" s="8"/>
      <c r="I111" s="27"/>
      <c r="J111" s="11"/>
      <c r="K111" s="24"/>
      <c r="L111" s="9"/>
      <c r="M111" s="8"/>
      <c r="N111" s="24" t="s">
        <v>277</v>
      </c>
      <c r="O111" s="24" t="s">
        <v>24</v>
      </c>
      <c r="P111" s="6" t="s">
        <v>19</v>
      </c>
    </row>
    <row r="112" spans="1:16" ht="21" customHeight="1" x14ac:dyDescent="0.2">
      <c r="A112" s="6" t="s">
        <v>17</v>
      </c>
      <c r="B112" s="24" t="s">
        <v>274</v>
      </c>
      <c r="C112" s="6" t="s">
        <v>19</v>
      </c>
      <c r="D112" s="6" t="s">
        <v>352</v>
      </c>
      <c r="E112" s="6" t="s">
        <v>353</v>
      </c>
      <c r="F112" s="8">
        <v>3</v>
      </c>
      <c r="G112" s="26"/>
      <c r="H112" s="8"/>
      <c r="I112" s="27"/>
      <c r="J112" s="11"/>
      <c r="K112" s="24"/>
      <c r="L112" s="9"/>
      <c r="M112" s="8"/>
      <c r="N112" s="24" t="s">
        <v>277</v>
      </c>
      <c r="O112" s="24" t="s">
        <v>24</v>
      </c>
      <c r="P112" s="6" t="s">
        <v>19</v>
      </c>
    </row>
    <row r="113" spans="1:16" ht="21" customHeight="1" x14ac:dyDescent="0.2">
      <c r="A113" s="6" t="s">
        <v>17</v>
      </c>
      <c r="B113" s="24" t="s">
        <v>274</v>
      </c>
      <c r="C113" s="6" t="s">
        <v>19</v>
      </c>
      <c r="D113" s="6" t="s">
        <v>173</v>
      </c>
      <c r="E113" s="6" t="s">
        <v>174</v>
      </c>
      <c r="F113" s="8">
        <v>1</v>
      </c>
      <c r="G113" s="26"/>
      <c r="H113" s="8"/>
      <c r="I113" s="27"/>
      <c r="J113" s="11"/>
      <c r="K113" s="24"/>
      <c r="L113" s="9"/>
      <c r="M113" s="8"/>
      <c r="N113" s="24" t="s">
        <v>277</v>
      </c>
      <c r="O113" s="24" t="s">
        <v>24</v>
      </c>
      <c r="P113" s="6" t="s">
        <v>19</v>
      </c>
    </row>
    <row r="114" spans="1:16" ht="21" customHeight="1" x14ac:dyDescent="0.2">
      <c r="A114" s="6" t="s">
        <v>17</v>
      </c>
      <c r="B114" s="24" t="s">
        <v>274</v>
      </c>
      <c r="C114" s="6" t="s">
        <v>19</v>
      </c>
      <c r="D114" s="6" t="s">
        <v>354</v>
      </c>
      <c r="E114" s="6" t="s">
        <v>355</v>
      </c>
      <c r="F114" s="8">
        <v>1</v>
      </c>
      <c r="G114" s="26"/>
      <c r="H114" s="8"/>
      <c r="I114" s="27"/>
      <c r="J114" s="11"/>
      <c r="K114" s="24"/>
      <c r="L114" s="9"/>
      <c r="M114" s="8"/>
      <c r="N114" s="24" t="s">
        <v>277</v>
      </c>
      <c r="O114" s="24" t="s">
        <v>24</v>
      </c>
      <c r="P114" s="6" t="s">
        <v>19</v>
      </c>
    </row>
    <row r="115" spans="1:16" ht="21" customHeight="1" x14ac:dyDescent="0.2">
      <c r="A115" s="6" t="s">
        <v>17</v>
      </c>
      <c r="B115" s="24" t="s">
        <v>274</v>
      </c>
      <c r="C115" s="6" t="s">
        <v>19</v>
      </c>
      <c r="D115" s="6" t="s">
        <v>81</v>
      </c>
      <c r="E115" s="6" t="s">
        <v>82</v>
      </c>
      <c r="F115" s="8">
        <v>3</v>
      </c>
      <c r="G115" s="26"/>
      <c r="H115" s="8"/>
      <c r="I115" s="27"/>
      <c r="J115" s="11"/>
      <c r="K115" s="24"/>
      <c r="L115" s="9"/>
      <c r="M115" s="8"/>
      <c r="N115" s="24" t="s">
        <v>277</v>
      </c>
      <c r="O115" s="24" t="s">
        <v>24</v>
      </c>
      <c r="P115" s="6" t="s">
        <v>19</v>
      </c>
    </row>
    <row r="116" spans="1:16" ht="21" customHeight="1" x14ac:dyDescent="0.2">
      <c r="A116" s="6" t="s">
        <v>17</v>
      </c>
      <c r="B116" s="24" t="s">
        <v>274</v>
      </c>
      <c r="C116" s="6" t="s">
        <v>19</v>
      </c>
      <c r="D116" s="6" t="s">
        <v>356</v>
      </c>
      <c r="E116" s="6" t="s">
        <v>357</v>
      </c>
      <c r="F116" s="8">
        <v>2</v>
      </c>
      <c r="G116" s="26"/>
      <c r="H116" s="8"/>
      <c r="I116" s="27"/>
      <c r="J116" s="11"/>
      <c r="K116" s="24"/>
      <c r="L116" s="9"/>
      <c r="M116" s="8"/>
      <c r="N116" s="24" t="s">
        <v>277</v>
      </c>
      <c r="O116" s="24" t="s">
        <v>24</v>
      </c>
      <c r="P116" s="6" t="s">
        <v>19</v>
      </c>
    </row>
    <row r="117" spans="1:16" ht="21" customHeight="1" x14ac:dyDescent="0.2">
      <c r="A117" s="6" t="s">
        <v>17</v>
      </c>
      <c r="B117" s="24" t="s">
        <v>274</v>
      </c>
      <c r="C117" s="6" t="s">
        <v>19</v>
      </c>
      <c r="D117" s="6" t="s">
        <v>157</v>
      </c>
      <c r="E117" s="6" t="s">
        <v>158</v>
      </c>
      <c r="F117" s="8">
        <v>3</v>
      </c>
      <c r="G117" s="26"/>
      <c r="H117" s="8"/>
      <c r="I117" s="27"/>
      <c r="J117" s="11"/>
      <c r="K117" s="24"/>
      <c r="L117" s="9"/>
      <c r="M117" s="8"/>
      <c r="N117" s="24" t="s">
        <v>277</v>
      </c>
      <c r="O117" s="24" t="s">
        <v>24</v>
      </c>
      <c r="P117" s="6" t="s">
        <v>19</v>
      </c>
    </row>
    <row r="118" spans="1:16" ht="21" customHeight="1" x14ac:dyDescent="0.2">
      <c r="A118" s="6" t="s">
        <v>17</v>
      </c>
      <c r="B118" s="24" t="s">
        <v>274</v>
      </c>
      <c r="C118" s="6" t="s">
        <v>19</v>
      </c>
      <c r="D118" s="6" t="s">
        <v>358</v>
      </c>
      <c r="E118" s="6" t="s">
        <v>359</v>
      </c>
      <c r="F118" s="8">
        <v>1</v>
      </c>
      <c r="G118" s="26"/>
      <c r="H118" s="8"/>
      <c r="I118" s="27"/>
      <c r="J118" s="11"/>
      <c r="K118" s="24"/>
      <c r="L118" s="9"/>
      <c r="M118" s="8"/>
      <c r="N118" s="24" t="s">
        <v>277</v>
      </c>
      <c r="O118" s="24" t="s">
        <v>24</v>
      </c>
      <c r="P118" s="6" t="s">
        <v>19</v>
      </c>
    </row>
    <row r="119" spans="1:16" ht="21" customHeight="1" x14ac:dyDescent="0.2">
      <c r="A119" s="6" t="s">
        <v>17</v>
      </c>
      <c r="B119" s="24" t="s">
        <v>274</v>
      </c>
      <c r="C119" s="6" t="s">
        <v>19</v>
      </c>
      <c r="D119" s="6" t="s">
        <v>360</v>
      </c>
      <c r="E119" s="6" t="s">
        <v>361</v>
      </c>
      <c r="F119" s="8">
        <v>2</v>
      </c>
      <c r="G119" s="26"/>
      <c r="H119" s="8"/>
      <c r="I119" s="27"/>
      <c r="J119" s="11"/>
      <c r="K119" s="24"/>
      <c r="L119" s="9"/>
      <c r="M119" s="8"/>
      <c r="N119" s="24" t="s">
        <v>277</v>
      </c>
      <c r="O119" s="24" t="s">
        <v>24</v>
      </c>
      <c r="P119" s="6" t="s">
        <v>19</v>
      </c>
    </row>
    <row r="120" spans="1:16" ht="21" customHeight="1" x14ac:dyDescent="0.2">
      <c r="A120" s="6" t="s">
        <v>17</v>
      </c>
      <c r="B120" s="24" t="s">
        <v>274</v>
      </c>
      <c r="C120" s="6" t="s">
        <v>19</v>
      </c>
      <c r="D120" s="6" t="s">
        <v>362</v>
      </c>
      <c r="E120" s="6" t="s">
        <v>363</v>
      </c>
      <c r="F120" s="8">
        <v>3</v>
      </c>
      <c r="G120" s="26"/>
      <c r="H120" s="8"/>
      <c r="I120" s="27"/>
      <c r="J120" s="11"/>
      <c r="K120" s="24"/>
      <c r="L120" s="9"/>
      <c r="M120" s="8"/>
      <c r="N120" s="24" t="s">
        <v>277</v>
      </c>
      <c r="O120" s="24" t="s">
        <v>24</v>
      </c>
      <c r="P120" s="6" t="s">
        <v>19</v>
      </c>
    </row>
    <row r="121" spans="1:16" ht="21" customHeight="1" x14ac:dyDescent="0.2">
      <c r="A121" s="6" t="s">
        <v>17</v>
      </c>
      <c r="B121" s="24" t="s">
        <v>274</v>
      </c>
      <c r="C121" s="6" t="s">
        <v>19</v>
      </c>
      <c r="D121" s="6" t="s">
        <v>364</v>
      </c>
      <c r="E121" s="6" t="s">
        <v>365</v>
      </c>
      <c r="F121" s="8">
        <v>1</v>
      </c>
      <c r="G121" s="26"/>
      <c r="H121" s="8"/>
      <c r="I121" s="27"/>
      <c r="J121" s="11"/>
      <c r="K121" s="24"/>
      <c r="L121" s="9"/>
      <c r="M121" s="8"/>
      <c r="N121" s="24" t="s">
        <v>277</v>
      </c>
      <c r="O121" s="24" t="s">
        <v>24</v>
      </c>
      <c r="P121" s="6" t="s">
        <v>19</v>
      </c>
    </row>
    <row r="122" spans="1:16" ht="21" customHeight="1" x14ac:dyDescent="0.2">
      <c r="A122" s="6" t="s">
        <v>17</v>
      </c>
      <c r="B122" s="24" t="s">
        <v>274</v>
      </c>
      <c r="C122" s="6" t="s">
        <v>19</v>
      </c>
      <c r="D122" s="6" t="s">
        <v>141</v>
      </c>
      <c r="E122" s="6" t="s">
        <v>142</v>
      </c>
      <c r="F122" s="8">
        <v>1</v>
      </c>
      <c r="G122" s="26"/>
      <c r="H122" s="8"/>
      <c r="I122" s="27"/>
      <c r="J122" s="11"/>
      <c r="K122" s="24"/>
      <c r="L122" s="9"/>
      <c r="M122" s="8"/>
      <c r="N122" s="24" t="s">
        <v>277</v>
      </c>
      <c r="O122" s="24" t="s">
        <v>24</v>
      </c>
      <c r="P122" s="6" t="s">
        <v>19</v>
      </c>
    </row>
    <row r="123" spans="1:16" ht="21" customHeight="1" x14ac:dyDescent="0.2">
      <c r="A123" s="6" t="s">
        <v>17</v>
      </c>
      <c r="B123" s="24" t="s">
        <v>274</v>
      </c>
      <c r="C123" s="6" t="s">
        <v>19</v>
      </c>
      <c r="D123" s="6" t="s">
        <v>366</v>
      </c>
      <c r="E123" s="6" t="s">
        <v>367</v>
      </c>
      <c r="F123" s="8">
        <v>6</v>
      </c>
      <c r="G123" s="26"/>
      <c r="H123" s="8"/>
      <c r="I123" s="27"/>
      <c r="J123" s="11"/>
      <c r="K123" s="24"/>
      <c r="L123" s="9"/>
      <c r="M123" s="8"/>
      <c r="N123" s="24" t="s">
        <v>277</v>
      </c>
      <c r="O123" s="24" t="s">
        <v>24</v>
      </c>
      <c r="P123" s="6" t="s">
        <v>19</v>
      </c>
    </row>
  </sheetData>
  <mergeCells count="1">
    <mergeCell ref="A2:E2"/>
  </mergeCells>
  <phoneticPr fontId="3" type="noConversion"/>
  <conditionalFormatting sqref="L3:L123 G3:G123">
    <cfRule type="expression" dxfId="19" priority="5">
      <formula>G3&lt;10000</formula>
    </cfRule>
    <cfRule type="expression" dxfId="18" priority="6">
      <formula>G3&gt;99999999</formula>
    </cfRule>
    <cfRule type="expression" dxfId="17" priority="7">
      <formula>100000000&gt;G3&gt;9999</formula>
    </cfRule>
    <cfRule type="expression" dxfId="16" priority="8">
      <formula>G3&lt;10000</formula>
    </cfRule>
    <cfRule type="expression" dxfId="15" priority="9">
      <formula>G3&gt;99999999</formula>
    </cfRule>
    <cfRule type="expression" dxfId="14" priority="10">
      <formula>100000000&gt;G3&gt;9999</formula>
    </cfRule>
  </conditionalFormatting>
  <conditionalFormatting sqref="G2">
    <cfRule type="expression" dxfId="13" priority="3">
      <formula>G2&gt;99999999</formula>
    </cfRule>
    <cfRule type="expression" dxfId="12" priority="4">
      <formula>100000000&gt;G2&gt;9999</formula>
    </cfRule>
  </conditionalFormatting>
  <conditionalFormatting sqref="L2">
    <cfRule type="expression" dxfId="11" priority="1">
      <formula>L2&gt;99999999</formula>
    </cfRule>
    <cfRule type="expression" dxfId="10" priority="2">
      <formula>100000000&gt;L2&gt;9999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5639-8E57-4294-BF38-0DACFA9FF02D}">
  <sheetPr codeName="Sheet4">
    <tabColor rgb="FFFF0000"/>
  </sheetPr>
  <dimension ref="A1:R3"/>
  <sheetViews>
    <sheetView workbookViewId="0">
      <pane xSplit="3" ySplit="2" topLeftCell="D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4" width="13" bestFit="1" customWidth="1"/>
    <col min="5" max="5" width="9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3" bestFit="1" customWidth="1"/>
    <col min="15" max="15" width="5.25" bestFit="1" customWidth="1"/>
    <col min="16" max="16" width="13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4</v>
      </c>
      <c r="E1" s="1" t="s">
        <v>5</v>
      </c>
      <c r="F1" s="3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23" t="s">
        <v>11</v>
      </c>
      <c r="L1" s="1" t="s">
        <v>12</v>
      </c>
      <c r="M1" s="4" t="s">
        <v>13</v>
      </c>
      <c r="N1" s="1" t="s">
        <v>14</v>
      </c>
      <c r="O1" s="23" t="s">
        <v>15</v>
      </c>
      <c r="P1" s="23" t="s">
        <v>16</v>
      </c>
      <c r="Q1" s="5"/>
      <c r="R1" s="5"/>
    </row>
    <row r="2" spans="1:18" s="22" customFormat="1" ht="24.95" customHeight="1" x14ac:dyDescent="0.2">
      <c r="A2" s="15" t="s">
        <v>199</v>
      </c>
      <c r="B2" s="16"/>
      <c r="C2" s="16"/>
      <c r="D2" s="16"/>
      <c r="E2" s="17"/>
      <c r="F2" s="18">
        <f>SUBTOTAL(9,F3:F1048576)</f>
        <v>2</v>
      </c>
      <c r="G2" s="19">
        <f>SUBTOTAL(9,G3:G1048576)</f>
        <v>299872</v>
      </c>
      <c r="H2" s="18">
        <f>G2/F2</f>
        <v>149936</v>
      </c>
      <c r="I2" s="18">
        <f t="shared" ref="I2:J2" si="0">SUBTOTAL(9,I3:I1048576)</f>
        <v>0</v>
      </c>
      <c r="J2" s="18">
        <f t="shared" si="0"/>
        <v>0</v>
      </c>
      <c r="K2" s="20">
        <f>IFERROR(J2/I2,)</f>
        <v>0</v>
      </c>
      <c r="L2" s="19">
        <f>SUBTOTAL(9,L3:L1048576)</f>
        <v>0</v>
      </c>
      <c r="M2" s="18">
        <f>IFERROR(L2/I2,)</f>
        <v>0</v>
      </c>
      <c r="N2" s="21"/>
      <c r="O2" s="21"/>
      <c r="P2" s="21"/>
    </row>
    <row r="3" spans="1:18" ht="21" customHeight="1" x14ac:dyDescent="0.2">
      <c r="A3" s="6" t="s">
        <v>17</v>
      </c>
      <c r="B3" s="24" t="s">
        <v>368</v>
      </c>
      <c r="C3" s="6" t="s">
        <v>19</v>
      </c>
      <c r="D3" s="6" t="s">
        <v>19</v>
      </c>
      <c r="E3" s="6" t="s">
        <v>20</v>
      </c>
      <c r="F3" s="8">
        <v>2</v>
      </c>
      <c r="G3" s="26">
        <v>299872</v>
      </c>
      <c r="H3" s="8">
        <v>149936</v>
      </c>
      <c r="I3" s="27"/>
      <c r="J3" s="11"/>
      <c r="K3" s="24"/>
      <c r="L3" s="9"/>
      <c r="M3" s="8"/>
      <c r="N3" s="24" t="s">
        <v>368</v>
      </c>
      <c r="O3" s="24" t="s">
        <v>24</v>
      </c>
      <c r="P3" s="6" t="s">
        <v>19</v>
      </c>
    </row>
  </sheetData>
  <mergeCells count="1">
    <mergeCell ref="A2:E2"/>
  </mergeCells>
  <phoneticPr fontId="3" type="noConversion"/>
  <conditionalFormatting sqref="L3 G3">
    <cfRule type="expression" dxfId="9" priority="5">
      <formula>G3&lt;10000</formula>
    </cfRule>
    <cfRule type="expression" dxfId="8" priority="6">
      <formula>G3&gt;99999999</formula>
    </cfRule>
    <cfRule type="expression" dxfId="7" priority="7">
      <formula>100000000&gt;G3&gt;9999</formula>
    </cfRule>
    <cfRule type="expression" dxfId="6" priority="8">
      <formula>G3&lt;10000</formula>
    </cfRule>
    <cfRule type="expression" dxfId="5" priority="9">
      <formula>G3&gt;99999999</formula>
    </cfRule>
    <cfRule type="expression" dxfId="4" priority="10">
      <formula>100000000&gt;G3&gt;9999</formula>
    </cfRule>
  </conditionalFormatting>
  <conditionalFormatting sqref="G2">
    <cfRule type="expression" dxfId="3" priority="3">
      <formula>G2&gt;99999999</formula>
    </cfRule>
    <cfRule type="expression" dxfId="2" priority="4">
      <formula>100000000&gt;G2&gt;9999</formula>
    </cfRule>
  </conditionalFormatting>
  <conditionalFormatting sqref="L2">
    <cfRule type="expression" dxfId="1" priority="1">
      <formula>L2&gt;99999999</formula>
    </cfRule>
    <cfRule type="expression" dxfId="0" priority="2">
      <formula>100000000&gt;L2&gt;9999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A6F6-54FD-429F-BC6D-15A28D42E876}">
  <sheetPr codeName="Sheet5"/>
  <dimension ref="A1:P75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5.5" bestFit="1" customWidth="1"/>
    <col min="3" max="3" width="13" bestFit="1" customWidth="1"/>
    <col min="4" max="4" width="23.625" bestFit="1" customWidth="1"/>
    <col min="5" max="5" width="18.375" bestFit="1" customWidth="1"/>
    <col min="9" max="10" width="7.125" bestFit="1" customWidth="1"/>
    <col min="11" max="11" width="9.5" bestFit="1" customWidth="1"/>
    <col min="12" max="12" width="16.75" bestFit="1" customWidth="1"/>
    <col min="13" max="13" width="5.25" bestFit="1" customWidth="1"/>
    <col min="14" max="14" width="13" bestFit="1" customWidth="1"/>
  </cols>
  <sheetData>
    <row r="1" spans="1:16" x14ac:dyDescent="0.2">
      <c r="A1" s="28" t="s">
        <v>0</v>
      </c>
      <c r="B1" s="28" t="s">
        <v>1</v>
      </c>
      <c r="C1" s="28" t="s">
        <v>2</v>
      </c>
      <c r="D1" s="28" t="s">
        <v>369</v>
      </c>
      <c r="E1" s="28" t="s">
        <v>370</v>
      </c>
      <c r="F1" s="28" t="s">
        <v>371</v>
      </c>
      <c r="G1" s="28" t="s">
        <v>372</v>
      </c>
      <c r="H1" s="28" t="s">
        <v>373</v>
      </c>
      <c r="I1" s="28" t="s">
        <v>374</v>
      </c>
      <c r="J1" s="28" t="s">
        <v>4</v>
      </c>
      <c r="K1" s="28" t="s">
        <v>5</v>
      </c>
      <c r="L1" s="28" t="s">
        <v>14</v>
      </c>
      <c r="M1" s="28" t="s">
        <v>15</v>
      </c>
      <c r="N1" s="28" t="s">
        <v>16</v>
      </c>
      <c r="O1" s="28"/>
      <c r="P1" s="28"/>
    </row>
    <row r="2" spans="1:16" x14ac:dyDescent="0.2">
      <c r="A2" s="29" t="s">
        <v>17</v>
      </c>
      <c r="B2" s="29" t="s">
        <v>200</v>
      </c>
      <c r="C2" s="29" t="s">
        <v>19</v>
      </c>
      <c r="D2" s="29" t="s">
        <v>375</v>
      </c>
      <c r="E2" s="29" t="s">
        <v>376</v>
      </c>
      <c r="F2" s="30">
        <v>44322</v>
      </c>
      <c r="G2" s="29" t="s">
        <v>377</v>
      </c>
      <c r="H2" s="29"/>
      <c r="I2" s="29">
        <v>1</v>
      </c>
      <c r="J2" s="29" t="s">
        <v>89</v>
      </c>
      <c r="K2" s="29" t="s">
        <v>90</v>
      </c>
      <c r="L2" s="29" t="s">
        <v>203</v>
      </c>
      <c r="M2" s="29" t="s">
        <v>24</v>
      </c>
      <c r="N2" s="29" t="s">
        <v>19</v>
      </c>
      <c r="O2" s="29"/>
      <c r="P2" s="29"/>
    </row>
    <row r="3" spans="1:16" x14ac:dyDescent="0.2">
      <c r="A3" s="29" t="s">
        <v>17</v>
      </c>
      <c r="B3" s="29" t="s">
        <v>200</v>
      </c>
      <c r="C3" s="29" t="s">
        <v>19</v>
      </c>
      <c r="D3" s="29" t="s">
        <v>378</v>
      </c>
      <c r="E3" s="29" t="s">
        <v>379</v>
      </c>
      <c r="F3" s="30">
        <v>44323</v>
      </c>
      <c r="G3" s="29" t="s">
        <v>377</v>
      </c>
      <c r="H3" s="29"/>
      <c r="I3" s="29">
        <v>1</v>
      </c>
      <c r="J3" s="29" t="s">
        <v>61</v>
      </c>
      <c r="K3" s="29" t="s">
        <v>62</v>
      </c>
      <c r="L3" s="29" t="s">
        <v>203</v>
      </c>
      <c r="M3" s="29" t="s">
        <v>24</v>
      </c>
      <c r="N3" s="29" t="s">
        <v>19</v>
      </c>
      <c r="O3" s="29"/>
      <c r="P3" s="29"/>
    </row>
    <row r="4" spans="1:16" x14ac:dyDescent="0.2">
      <c r="A4" s="29" t="s">
        <v>17</v>
      </c>
      <c r="B4" s="29" t="s">
        <v>200</v>
      </c>
      <c r="C4" s="29" t="s">
        <v>19</v>
      </c>
      <c r="D4" s="29" t="s">
        <v>380</v>
      </c>
      <c r="E4" s="29" t="s">
        <v>381</v>
      </c>
      <c r="F4" s="30">
        <v>44323</v>
      </c>
      <c r="G4" s="29" t="s">
        <v>377</v>
      </c>
      <c r="H4" s="29">
        <v>501</v>
      </c>
      <c r="I4" s="29">
        <v>0</v>
      </c>
      <c r="J4" s="29" t="s">
        <v>242</v>
      </c>
      <c r="K4" s="29" t="s">
        <v>243</v>
      </c>
      <c r="L4" s="29" t="s">
        <v>203</v>
      </c>
      <c r="M4" s="29" t="s">
        <v>24</v>
      </c>
      <c r="N4" s="29" t="s">
        <v>19</v>
      </c>
      <c r="O4" s="29"/>
      <c r="P4" s="29"/>
    </row>
    <row r="5" spans="1:16" x14ac:dyDescent="0.2">
      <c r="A5" s="29" t="s">
        <v>17</v>
      </c>
      <c r="B5" s="29" t="s">
        <v>200</v>
      </c>
      <c r="C5" s="29" t="s">
        <v>19</v>
      </c>
      <c r="D5" s="29" t="s">
        <v>382</v>
      </c>
      <c r="E5" s="29" t="s">
        <v>383</v>
      </c>
      <c r="F5" s="30">
        <v>44320</v>
      </c>
      <c r="G5" s="29" t="s">
        <v>377</v>
      </c>
      <c r="H5" s="29">
        <v>1000</v>
      </c>
      <c r="I5" s="29">
        <v>0</v>
      </c>
      <c r="J5" s="29" t="s">
        <v>73</v>
      </c>
      <c r="K5" s="29" t="s">
        <v>74</v>
      </c>
      <c r="L5" s="29" t="s">
        <v>203</v>
      </c>
      <c r="M5" s="29" t="s">
        <v>24</v>
      </c>
      <c r="N5" s="29" t="s">
        <v>19</v>
      </c>
      <c r="O5" s="29"/>
      <c r="P5" s="29"/>
    </row>
    <row r="6" spans="1:16" x14ac:dyDescent="0.2">
      <c r="A6" s="29" t="s">
        <v>17</v>
      </c>
      <c r="B6" s="29" t="s">
        <v>200</v>
      </c>
      <c r="C6" s="29" t="s">
        <v>19</v>
      </c>
      <c r="D6" s="29" t="s">
        <v>384</v>
      </c>
      <c r="E6" s="29" t="s">
        <v>385</v>
      </c>
      <c r="F6" s="30">
        <v>44322</v>
      </c>
      <c r="G6" s="29" t="s">
        <v>377</v>
      </c>
      <c r="H6" s="29"/>
      <c r="I6" s="29">
        <v>1</v>
      </c>
      <c r="J6" s="29" t="s">
        <v>77</v>
      </c>
      <c r="K6" s="29" t="s">
        <v>78</v>
      </c>
      <c r="L6" s="29" t="s">
        <v>203</v>
      </c>
      <c r="M6" s="29" t="s">
        <v>24</v>
      </c>
      <c r="N6" s="29" t="s">
        <v>19</v>
      </c>
      <c r="O6" s="29"/>
      <c r="P6" s="29"/>
    </row>
    <row r="7" spans="1:16" x14ac:dyDescent="0.2">
      <c r="A7" s="29" t="s">
        <v>17</v>
      </c>
      <c r="B7" s="29" t="s">
        <v>200</v>
      </c>
      <c r="C7" s="29" t="s">
        <v>19</v>
      </c>
      <c r="D7" s="29" t="s">
        <v>386</v>
      </c>
      <c r="E7" s="29" t="s">
        <v>387</v>
      </c>
      <c r="F7" s="30">
        <v>44322</v>
      </c>
      <c r="G7" s="29" t="s">
        <v>377</v>
      </c>
      <c r="H7" s="29">
        <v>10.01</v>
      </c>
      <c r="I7" s="29">
        <v>0</v>
      </c>
      <c r="J7" s="29" t="s">
        <v>87</v>
      </c>
      <c r="K7" s="29" t="s">
        <v>88</v>
      </c>
      <c r="L7" s="29" t="s">
        <v>203</v>
      </c>
      <c r="M7" s="29" t="s">
        <v>24</v>
      </c>
      <c r="N7" s="29" t="s">
        <v>19</v>
      </c>
      <c r="O7" s="29"/>
      <c r="P7" s="29"/>
    </row>
    <row r="8" spans="1:16" x14ac:dyDescent="0.2">
      <c r="A8" s="29" t="s">
        <v>17</v>
      </c>
      <c r="B8" s="29" t="s">
        <v>200</v>
      </c>
      <c r="C8" s="29" t="s">
        <v>19</v>
      </c>
      <c r="D8" s="29" t="s">
        <v>388</v>
      </c>
      <c r="E8" s="29" t="s">
        <v>389</v>
      </c>
      <c r="F8" s="30">
        <v>44323</v>
      </c>
      <c r="G8" s="29" t="s">
        <v>377</v>
      </c>
      <c r="H8" s="29"/>
      <c r="I8" s="29">
        <v>1</v>
      </c>
      <c r="J8" s="29" t="s">
        <v>97</v>
      </c>
      <c r="K8" s="29" t="s">
        <v>98</v>
      </c>
      <c r="L8" s="29" t="s">
        <v>203</v>
      </c>
      <c r="M8" s="29" t="s">
        <v>24</v>
      </c>
      <c r="N8" s="29" t="s">
        <v>19</v>
      </c>
      <c r="O8" s="29"/>
      <c r="P8" s="29"/>
    </row>
    <row r="9" spans="1:16" x14ac:dyDescent="0.2">
      <c r="A9" s="29" t="s">
        <v>17</v>
      </c>
      <c r="B9" s="29" t="s">
        <v>200</v>
      </c>
      <c r="C9" s="29" t="s">
        <v>19</v>
      </c>
      <c r="D9" s="29" t="s">
        <v>390</v>
      </c>
      <c r="E9" s="29" t="s">
        <v>391</v>
      </c>
      <c r="F9" s="30">
        <v>44322</v>
      </c>
      <c r="G9" s="29" t="s">
        <v>377</v>
      </c>
      <c r="H9" s="29">
        <v>20</v>
      </c>
      <c r="I9" s="29">
        <v>0</v>
      </c>
      <c r="J9" s="29" t="s">
        <v>97</v>
      </c>
      <c r="K9" s="29" t="s">
        <v>98</v>
      </c>
      <c r="L9" s="29" t="s">
        <v>203</v>
      </c>
      <c r="M9" s="29" t="s">
        <v>24</v>
      </c>
      <c r="N9" s="29" t="s">
        <v>19</v>
      </c>
      <c r="O9" s="29"/>
      <c r="P9" s="29"/>
    </row>
    <row r="10" spans="1:16" x14ac:dyDescent="0.2">
      <c r="A10" s="29" t="s">
        <v>17</v>
      </c>
      <c r="B10" s="29" t="s">
        <v>200</v>
      </c>
      <c r="C10" s="29" t="s">
        <v>19</v>
      </c>
      <c r="D10" s="29" t="s">
        <v>392</v>
      </c>
      <c r="E10" s="29" t="s">
        <v>393</v>
      </c>
      <c r="F10" s="30">
        <v>44322</v>
      </c>
      <c r="G10" s="29" t="s">
        <v>377</v>
      </c>
      <c r="H10" s="29">
        <v>120</v>
      </c>
      <c r="I10" s="29">
        <v>0</v>
      </c>
      <c r="J10" s="29" t="s">
        <v>77</v>
      </c>
      <c r="K10" s="29" t="s">
        <v>78</v>
      </c>
      <c r="L10" s="29" t="s">
        <v>203</v>
      </c>
      <c r="M10" s="29" t="s">
        <v>24</v>
      </c>
      <c r="N10" s="29" t="s">
        <v>19</v>
      </c>
      <c r="O10" s="29"/>
      <c r="P10" s="29"/>
    </row>
    <row r="11" spans="1:16" x14ac:dyDescent="0.2">
      <c r="A11" s="29" t="s">
        <v>17</v>
      </c>
      <c r="B11" s="29" t="s">
        <v>200</v>
      </c>
      <c r="C11" s="29" t="s">
        <v>19</v>
      </c>
      <c r="D11" s="29" t="s">
        <v>394</v>
      </c>
      <c r="E11" s="29" t="s">
        <v>395</v>
      </c>
      <c r="F11" s="30">
        <v>44322</v>
      </c>
      <c r="G11" s="29" t="s">
        <v>377</v>
      </c>
      <c r="H11" s="29">
        <v>0.01</v>
      </c>
      <c r="I11" s="29">
        <v>0</v>
      </c>
      <c r="J11" s="29" t="s">
        <v>77</v>
      </c>
      <c r="K11" s="29" t="s">
        <v>78</v>
      </c>
      <c r="L11" s="29" t="s">
        <v>203</v>
      </c>
      <c r="M11" s="29" t="s">
        <v>24</v>
      </c>
      <c r="N11" s="29" t="s">
        <v>19</v>
      </c>
      <c r="O11" s="29"/>
      <c r="P11" s="29"/>
    </row>
    <row r="12" spans="1:16" x14ac:dyDescent="0.2">
      <c r="A12" s="29" t="s">
        <v>17</v>
      </c>
      <c r="B12" s="29" t="s">
        <v>200</v>
      </c>
      <c r="C12" s="29" t="s">
        <v>19</v>
      </c>
      <c r="D12" s="29" t="s">
        <v>396</v>
      </c>
      <c r="E12" s="29" t="s">
        <v>397</v>
      </c>
      <c r="F12" s="30">
        <v>44322</v>
      </c>
      <c r="G12" s="29" t="s">
        <v>377</v>
      </c>
      <c r="H12" s="29">
        <v>500</v>
      </c>
      <c r="I12" s="29">
        <v>0</v>
      </c>
      <c r="J12" s="29" t="s">
        <v>115</v>
      </c>
      <c r="K12" s="29" t="s">
        <v>116</v>
      </c>
      <c r="L12" s="29" t="s">
        <v>203</v>
      </c>
      <c r="M12" s="29" t="s">
        <v>24</v>
      </c>
      <c r="N12" s="29" t="s">
        <v>19</v>
      </c>
      <c r="O12" s="29"/>
      <c r="P12" s="29"/>
    </row>
    <row r="13" spans="1:16" x14ac:dyDescent="0.2">
      <c r="A13" s="29" t="s">
        <v>17</v>
      </c>
      <c r="B13" s="29" t="s">
        <v>200</v>
      </c>
      <c r="C13" s="29" t="s">
        <v>19</v>
      </c>
      <c r="D13" s="29" t="s">
        <v>398</v>
      </c>
      <c r="E13" s="29" t="s">
        <v>399</v>
      </c>
      <c r="F13" s="30">
        <v>44322</v>
      </c>
      <c r="G13" s="29" t="s">
        <v>377</v>
      </c>
      <c r="H13" s="29">
        <v>39447</v>
      </c>
      <c r="I13" s="29">
        <v>0</v>
      </c>
      <c r="J13" s="29" t="s">
        <v>35</v>
      </c>
      <c r="K13" s="29" t="s">
        <v>36</v>
      </c>
      <c r="L13" s="29" t="s">
        <v>203</v>
      </c>
      <c r="M13" s="29" t="s">
        <v>24</v>
      </c>
      <c r="N13" s="29" t="s">
        <v>19</v>
      </c>
      <c r="O13" s="29"/>
      <c r="P13" s="29"/>
    </row>
    <row r="14" spans="1:16" x14ac:dyDescent="0.2">
      <c r="A14" s="29" t="s">
        <v>17</v>
      </c>
      <c r="B14" s="29" t="s">
        <v>200</v>
      </c>
      <c r="C14" s="29" t="s">
        <v>19</v>
      </c>
      <c r="D14" s="29" t="s">
        <v>400</v>
      </c>
      <c r="E14" s="29" t="s">
        <v>401</v>
      </c>
      <c r="F14" s="30">
        <v>44322</v>
      </c>
      <c r="G14" s="29" t="s">
        <v>377</v>
      </c>
      <c r="H14" s="29">
        <v>1213.0999999999999</v>
      </c>
      <c r="I14" s="29">
        <v>0</v>
      </c>
      <c r="J14" s="29" t="s">
        <v>55</v>
      </c>
      <c r="K14" s="29" t="s">
        <v>56</v>
      </c>
      <c r="L14" s="29" t="s">
        <v>203</v>
      </c>
      <c r="M14" s="29" t="s">
        <v>24</v>
      </c>
      <c r="N14" s="29" t="s">
        <v>19</v>
      </c>
      <c r="O14" s="29"/>
      <c r="P14" s="29"/>
    </row>
    <row r="15" spans="1:16" x14ac:dyDescent="0.2">
      <c r="A15" s="29" t="s">
        <v>17</v>
      </c>
      <c r="B15" s="29" t="s">
        <v>200</v>
      </c>
      <c r="C15" s="29" t="s">
        <v>19</v>
      </c>
      <c r="D15" s="29" t="s">
        <v>402</v>
      </c>
      <c r="E15" s="29" t="s">
        <v>403</v>
      </c>
      <c r="F15" s="30">
        <v>44322</v>
      </c>
      <c r="G15" s="29" t="s">
        <v>377</v>
      </c>
      <c r="H15" s="29"/>
      <c r="I15" s="29">
        <v>1</v>
      </c>
      <c r="J15" s="29" t="s">
        <v>242</v>
      </c>
      <c r="K15" s="29" t="s">
        <v>243</v>
      </c>
      <c r="L15" s="29" t="s">
        <v>203</v>
      </c>
      <c r="M15" s="29" t="s">
        <v>24</v>
      </c>
      <c r="N15" s="29" t="s">
        <v>19</v>
      </c>
      <c r="O15" s="29"/>
      <c r="P15" s="29"/>
    </row>
    <row r="16" spans="1:16" x14ac:dyDescent="0.2">
      <c r="A16" s="29" t="s">
        <v>17</v>
      </c>
      <c r="B16" s="29" t="s">
        <v>200</v>
      </c>
      <c r="C16" s="29" t="s">
        <v>19</v>
      </c>
      <c r="D16" s="29" t="s">
        <v>404</v>
      </c>
      <c r="E16" s="29" t="s">
        <v>405</v>
      </c>
      <c r="F16" s="30">
        <v>44322</v>
      </c>
      <c r="G16" s="29" t="s">
        <v>377</v>
      </c>
      <c r="H16" s="29">
        <v>2000</v>
      </c>
      <c r="I16" s="29">
        <v>0</v>
      </c>
      <c r="J16" s="29" t="s">
        <v>65</v>
      </c>
      <c r="K16" s="29" t="s">
        <v>66</v>
      </c>
      <c r="L16" s="29" t="s">
        <v>203</v>
      </c>
      <c r="M16" s="29" t="s">
        <v>24</v>
      </c>
      <c r="N16" s="29" t="s">
        <v>19</v>
      </c>
      <c r="O16" s="29"/>
      <c r="P16" s="29"/>
    </row>
    <row r="17" spans="1:16" x14ac:dyDescent="0.2">
      <c r="A17" s="29" t="s">
        <v>17</v>
      </c>
      <c r="B17" s="29" t="s">
        <v>200</v>
      </c>
      <c r="C17" s="29" t="s">
        <v>19</v>
      </c>
      <c r="D17" s="29" t="s">
        <v>406</v>
      </c>
      <c r="E17" s="29" t="s">
        <v>407</v>
      </c>
      <c r="F17" s="30">
        <v>44322</v>
      </c>
      <c r="G17" s="29" t="s">
        <v>377</v>
      </c>
      <c r="H17" s="29">
        <v>9922</v>
      </c>
      <c r="I17" s="29">
        <v>0</v>
      </c>
      <c r="J17" s="29" t="s">
        <v>35</v>
      </c>
      <c r="K17" s="29" t="s">
        <v>36</v>
      </c>
      <c r="L17" s="29" t="s">
        <v>203</v>
      </c>
      <c r="M17" s="29" t="s">
        <v>24</v>
      </c>
      <c r="N17" s="29" t="s">
        <v>19</v>
      </c>
      <c r="O17" s="29"/>
      <c r="P17" s="29"/>
    </row>
    <row r="18" spans="1:16" x14ac:dyDescent="0.2">
      <c r="A18" s="29" t="s">
        <v>17</v>
      </c>
      <c r="B18" s="29" t="s">
        <v>200</v>
      </c>
      <c r="C18" s="29" t="s">
        <v>19</v>
      </c>
      <c r="D18" s="29" t="s">
        <v>408</v>
      </c>
      <c r="E18" s="29" t="s">
        <v>409</v>
      </c>
      <c r="F18" s="30">
        <v>44323</v>
      </c>
      <c r="G18" s="29" t="s">
        <v>377</v>
      </c>
      <c r="H18" s="29"/>
      <c r="I18" s="29">
        <v>1</v>
      </c>
      <c r="J18" s="29" t="s">
        <v>171</v>
      </c>
      <c r="K18" s="29" t="s">
        <v>172</v>
      </c>
      <c r="L18" s="29" t="s">
        <v>203</v>
      </c>
      <c r="M18" s="29" t="s">
        <v>24</v>
      </c>
      <c r="N18" s="29" t="s">
        <v>19</v>
      </c>
      <c r="O18" s="29"/>
      <c r="P18" s="29"/>
    </row>
    <row r="19" spans="1:16" x14ac:dyDescent="0.2">
      <c r="A19" s="29" t="s">
        <v>17</v>
      </c>
      <c r="B19" s="29" t="s">
        <v>200</v>
      </c>
      <c r="C19" s="29" t="s">
        <v>19</v>
      </c>
      <c r="D19" s="29" t="s">
        <v>410</v>
      </c>
      <c r="E19" s="29" t="s">
        <v>411</v>
      </c>
      <c r="F19" s="30">
        <v>44323</v>
      </c>
      <c r="G19" s="29" t="s">
        <v>377</v>
      </c>
      <c r="H19" s="29">
        <v>44846</v>
      </c>
      <c r="I19" s="29">
        <v>0</v>
      </c>
      <c r="J19" s="29" t="s">
        <v>71</v>
      </c>
      <c r="K19" s="29" t="s">
        <v>72</v>
      </c>
      <c r="L19" s="29" t="s">
        <v>203</v>
      </c>
      <c r="M19" s="29" t="s">
        <v>24</v>
      </c>
      <c r="N19" s="29" t="s">
        <v>19</v>
      </c>
      <c r="O19" s="29"/>
      <c r="P19" s="29"/>
    </row>
    <row r="20" spans="1:16" x14ac:dyDescent="0.2">
      <c r="A20" s="29" t="s">
        <v>17</v>
      </c>
      <c r="B20" s="29" t="s">
        <v>200</v>
      </c>
      <c r="C20" s="29" t="s">
        <v>19</v>
      </c>
      <c r="D20" s="29" t="s">
        <v>412</v>
      </c>
      <c r="E20" s="29" t="s">
        <v>413</v>
      </c>
      <c r="F20" s="30">
        <v>44323</v>
      </c>
      <c r="G20" s="29" t="s">
        <v>377</v>
      </c>
      <c r="H20" s="29">
        <v>5000</v>
      </c>
      <c r="I20" s="29">
        <v>0</v>
      </c>
      <c r="J20" s="29" t="s">
        <v>77</v>
      </c>
      <c r="K20" s="29" t="s">
        <v>78</v>
      </c>
      <c r="L20" s="29" t="s">
        <v>203</v>
      </c>
      <c r="M20" s="29" t="s">
        <v>24</v>
      </c>
      <c r="N20" s="29" t="s">
        <v>19</v>
      </c>
      <c r="O20" s="29"/>
      <c r="P20" s="29"/>
    </row>
    <row r="21" spans="1:16" x14ac:dyDescent="0.2">
      <c r="A21" s="29" t="s">
        <v>17</v>
      </c>
      <c r="B21" s="29" t="s">
        <v>200</v>
      </c>
      <c r="C21" s="29" t="s">
        <v>19</v>
      </c>
      <c r="D21" s="29" t="s">
        <v>414</v>
      </c>
      <c r="E21" s="29" t="s">
        <v>415</v>
      </c>
      <c r="F21" s="30">
        <v>44323</v>
      </c>
      <c r="G21" s="29" t="s">
        <v>377</v>
      </c>
      <c r="H21" s="29">
        <v>100</v>
      </c>
      <c r="I21" s="29">
        <v>0</v>
      </c>
      <c r="J21" s="29" t="s">
        <v>65</v>
      </c>
      <c r="K21" s="29" t="s">
        <v>66</v>
      </c>
      <c r="L21" s="29" t="s">
        <v>203</v>
      </c>
      <c r="M21" s="29" t="s">
        <v>24</v>
      </c>
      <c r="N21" s="29" t="s">
        <v>19</v>
      </c>
      <c r="O21" s="29"/>
      <c r="P21" s="29"/>
    </row>
    <row r="22" spans="1:16" x14ac:dyDescent="0.2">
      <c r="A22" s="29" t="s">
        <v>17</v>
      </c>
      <c r="B22" s="29" t="s">
        <v>200</v>
      </c>
      <c r="C22" s="29" t="s">
        <v>19</v>
      </c>
      <c r="D22" s="29" t="s">
        <v>416</v>
      </c>
      <c r="E22" s="29" t="s">
        <v>417</v>
      </c>
      <c r="F22" s="30">
        <v>44323</v>
      </c>
      <c r="G22" s="29" t="s">
        <v>377</v>
      </c>
      <c r="H22" s="29">
        <v>100</v>
      </c>
      <c r="I22" s="29">
        <v>0</v>
      </c>
      <c r="J22" s="29" t="s">
        <v>55</v>
      </c>
      <c r="K22" s="29" t="s">
        <v>56</v>
      </c>
      <c r="L22" s="29" t="s">
        <v>203</v>
      </c>
      <c r="M22" s="29" t="s">
        <v>24</v>
      </c>
      <c r="N22" s="29" t="s">
        <v>19</v>
      </c>
      <c r="O22" s="29"/>
      <c r="P22" s="29"/>
    </row>
    <row r="23" spans="1:16" x14ac:dyDescent="0.2">
      <c r="A23" s="29" t="s">
        <v>17</v>
      </c>
      <c r="B23" s="29" t="s">
        <v>200</v>
      </c>
      <c r="C23" s="29" t="s">
        <v>19</v>
      </c>
      <c r="D23" s="29" t="s">
        <v>418</v>
      </c>
      <c r="E23" s="29" t="s">
        <v>419</v>
      </c>
      <c r="F23" s="30">
        <v>44323</v>
      </c>
      <c r="G23" s="29" t="s">
        <v>377</v>
      </c>
      <c r="H23" s="29">
        <v>1000</v>
      </c>
      <c r="I23" s="29">
        <v>0</v>
      </c>
      <c r="J23" s="29" t="s">
        <v>77</v>
      </c>
      <c r="K23" s="29" t="s">
        <v>78</v>
      </c>
      <c r="L23" s="29" t="s">
        <v>203</v>
      </c>
      <c r="M23" s="29" t="s">
        <v>24</v>
      </c>
      <c r="N23" s="29" t="s">
        <v>19</v>
      </c>
      <c r="O23" s="29"/>
      <c r="P23" s="29"/>
    </row>
    <row r="24" spans="1:16" x14ac:dyDescent="0.2">
      <c r="A24" s="29" t="s">
        <v>17</v>
      </c>
      <c r="B24" s="29" t="s">
        <v>200</v>
      </c>
      <c r="C24" s="29" t="s">
        <v>19</v>
      </c>
      <c r="D24" s="29" t="s">
        <v>420</v>
      </c>
      <c r="E24" s="29" t="s">
        <v>421</v>
      </c>
      <c r="F24" s="30">
        <v>44322</v>
      </c>
      <c r="G24" s="29" t="s">
        <v>377</v>
      </c>
      <c r="H24" s="29"/>
      <c r="I24" s="29">
        <v>1</v>
      </c>
      <c r="J24" s="29" t="s">
        <v>218</v>
      </c>
      <c r="K24" s="29" t="s">
        <v>219</v>
      </c>
      <c r="L24" s="29" t="s">
        <v>203</v>
      </c>
      <c r="M24" s="29" t="s">
        <v>24</v>
      </c>
      <c r="N24" s="29" t="s">
        <v>19</v>
      </c>
      <c r="O24" s="29"/>
      <c r="P24" s="29"/>
    </row>
    <row r="25" spans="1:16" x14ac:dyDescent="0.2">
      <c r="A25" s="29" t="s">
        <v>17</v>
      </c>
      <c r="B25" s="29" t="s">
        <v>200</v>
      </c>
      <c r="C25" s="29" t="s">
        <v>19</v>
      </c>
      <c r="D25" s="29" t="s">
        <v>422</v>
      </c>
      <c r="E25" s="29" t="s">
        <v>423</v>
      </c>
      <c r="F25" s="30">
        <v>44321</v>
      </c>
      <c r="G25" s="29" t="s">
        <v>377</v>
      </c>
      <c r="H25" s="29"/>
      <c r="I25" s="29">
        <v>1</v>
      </c>
      <c r="J25" s="29" t="s">
        <v>97</v>
      </c>
      <c r="K25" s="29" t="s">
        <v>98</v>
      </c>
      <c r="L25" s="29" t="s">
        <v>203</v>
      </c>
      <c r="M25" s="29" t="s">
        <v>24</v>
      </c>
      <c r="N25" s="29" t="s">
        <v>19</v>
      </c>
      <c r="O25" s="29"/>
      <c r="P25" s="29"/>
    </row>
    <row r="26" spans="1:16" x14ac:dyDescent="0.2">
      <c r="A26" s="29" t="s">
        <v>17</v>
      </c>
      <c r="B26" s="29" t="s">
        <v>200</v>
      </c>
      <c r="C26" s="29" t="s">
        <v>19</v>
      </c>
      <c r="D26" s="29" t="s">
        <v>424</v>
      </c>
      <c r="E26" s="29" t="s">
        <v>425</v>
      </c>
      <c r="F26" s="30">
        <v>44323</v>
      </c>
      <c r="G26" s="29" t="s">
        <v>377</v>
      </c>
      <c r="H26" s="29"/>
      <c r="I26" s="29">
        <v>1</v>
      </c>
      <c r="J26" s="29" t="s">
        <v>69</v>
      </c>
      <c r="K26" s="29" t="s">
        <v>70</v>
      </c>
      <c r="L26" s="29" t="s">
        <v>203</v>
      </c>
      <c r="M26" s="29" t="s">
        <v>24</v>
      </c>
      <c r="N26" s="29" t="s">
        <v>19</v>
      </c>
      <c r="O26" s="29"/>
      <c r="P26" s="29"/>
    </row>
    <row r="27" spans="1:16" x14ac:dyDescent="0.2">
      <c r="A27" s="29" t="s">
        <v>17</v>
      </c>
      <c r="B27" s="29" t="s">
        <v>200</v>
      </c>
      <c r="C27" s="29" t="s">
        <v>19</v>
      </c>
      <c r="D27" s="29" t="s">
        <v>426</v>
      </c>
      <c r="E27" s="29" t="s">
        <v>427</v>
      </c>
      <c r="F27" s="30">
        <v>44323</v>
      </c>
      <c r="G27" s="29" t="s">
        <v>377</v>
      </c>
      <c r="H27" s="29">
        <v>100</v>
      </c>
      <c r="I27" s="29">
        <v>0</v>
      </c>
      <c r="J27" s="29" t="s">
        <v>218</v>
      </c>
      <c r="K27" s="29" t="s">
        <v>219</v>
      </c>
      <c r="L27" s="29" t="s">
        <v>203</v>
      </c>
      <c r="M27" s="29" t="s">
        <v>24</v>
      </c>
      <c r="N27" s="29" t="s">
        <v>19</v>
      </c>
      <c r="O27" s="29"/>
      <c r="P27" s="29"/>
    </row>
    <row r="28" spans="1:16" x14ac:dyDescent="0.2">
      <c r="A28" s="29" t="s">
        <v>17</v>
      </c>
      <c r="B28" s="29" t="s">
        <v>200</v>
      </c>
      <c r="C28" s="29" t="s">
        <v>19</v>
      </c>
      <c r="D28" s="29" t="s">
        <v>428</v>
      </c>
      <c r="E28" s="29" t="s">
        <v>429</v>
      </c>
      <c r="F28" s="30">
        <v>44323</v>
      </c>
      <c r="G28" s="29" t="s">
        <v>377</v>
      </c>
      <c r="H28" s="29">
        <v>36</v>
      </c>
      <c r="I28" s="29">
        <v>0</v>
      </c>
      <c r="J28" s="29" t="s">
        <v>97</v>
      </c>
      <c r="K28" s="29" t="s">
        <v>98</v>
      </c>
      <c r="L28" s="29" t="s">
        <v>203</v>
      </c>
      <c r="M28" s="29" t="s">
        <v>24</v>
      </c>
      <c r="N28" s="29" t="s">
        <v>19</v>
      </c>
      <c r="O28" s="29"/>
      <c r="P28" s="29"/>
    </row>
    <row r="29" spans="1:16" x14ac:dyDescent="0.2">
      <c r="A29" s="29" t="s">
        <v>17</v>
      </c>
      <c r="B29" s="29" t="s">
        <v>200</v>
      </c>
      <c r="C29" s="29" t="s">
        <v>19</v>
      </c>
      <c r="D29" s="29" t="s">
        <v>430</v>
      </c>
      <c r="E29" s="29" t="s">
        <v>431</v>
      </c>
      <c r="F29" s="30">
        <v>44322</v>
      </c>
      <c r="G29" s="29" t="s">
        <v>377</v>
      </c>
      <c r="H29" s="29">
        <v>100</v>
      </c>
      <c r="I29" s="29">
        <v>0</v>
      </c>
      <c r="J29" s="29" t="s">
        <v>171</v>
      </c>
      <c r="K29" s="29" t="s">
        <v>172</v>
      </c>
      <c r="L29" s="29" t="s">
        <v>203</v>
      </c>
      <c r="M29" s="29" t="s">
        <v>24</v>
      </c>
      <c r="N29" s="29" t="s">
        <v>19</v>
      </c>
      <c r="O29" s="29"/>
      <c r="P29" s="29"/>
    </row>
    <row r="30" spans="1:16" x14ac:dyDescent="0.2">
      <c r="A30" s="29" t="s">
        <v>17</v>
      </c>
      <c r="B30" s="29" t="s">
        <v>200</v>
      </c>
      <c r="C30" s="29" t="s">
        <v>19</v>
      </c>
      <c r="D30" s="29" t="s">
        <v>432</v>
      </c>
      <c r="E30" s="29" t="s">
        <v>433</v>
      </c>
      <c r="F30" s="30">
        <v>44322</v>
      </c>
      <c r="G30" s="29" t="s">
        <v>377</v>
      </c>
      <c r="H30" s="29"/>
      <c r="I30" s="29">
        <v>1</v>
      </c>
      <c r="J30" s="29" t="s">
        <v>109</v>
      </c>
      <c r="K30" s="29" t="s">
        <v>110</v>
      </c>
      <c r="L30" s="29" t="s">
        <v>203</v>
      </c>
      <c r="M30" s="29" t="s">
        <v>24</v>
      </c>
      <c r="N30" s="29" t="s">
        <v>19</v>
      </c>
      <c r="O30" s="29"/>
      <c r="P30" s="29"/>
    </row>
    <row r="31" spans="1:16" x14ac:dyDescent="0.2">
      <c r="A31" s="29" t="s">
        <v>17</v>
      </c>
      <c r="B31" s="29" t="s">
        <v>200</v>
      </c>
      <c r="C31" s="29" t="s">
        <v>19</v>
      </c>
      <c r="D31" s="29" t="s">
        <v>434</v>
      </c>
      <c r="E31" s="29" t="s">
        <v>435</v>
      </c>
      <c r="F31" s="30">
        <v>44323</v>
      </c>
      <c r="G31" s="29" t="s">
        <v>377</v>
      </c>
      <c r="H31" s="29"/>
      <c r="I31" s="29">
        <v>1</v>
      </c>
      <c r="J31" s="29" t="s">
        <v>99</v>
      </c>
      <c r="K31" s="29" t="s">
        <v>100</v>
      </c>
      <c r="L31" s="29" t="s">
        <v>203</v>
      </c>
      <c r="M31" s="29" t="s">
        <v>24</v>
      </c>
      <c r="N31" s="29" t="s">
        <v>19</v>
      </c>
      <c r="O31" s="29"/>
      <c r="P31" s="29"/>
    </row>
    <row r="32" spans="1:16" x14ac:dyDescent="0.2">
      <c r="A32" s="29" t="s">
        <v>17</v>
      </c>
      <c r="B32" s="29" t="s">
        <v>200</v>
      </c>
      <c r="C32" s="29" t="s">
        <v>19</v>
      </c>
      <c r="D32" s="29" t="s">
        <v>436</v>
      </c>
      <c r="E32" s="29" t="s">
        <v>437</v>
      </c>
      <c r="F32" s="30">
        <v>44319</v>
      </c>
      <c r="G32" s="29" t="s">
        <v>377</v>
      </c>
      <c r="H32" s="29">
        <v>28886</v>
      </c>
      <c r="I32" s="29">
        <v>0</v>
      </c>
      <c r="J32" s="29" t="s">
        <v>45</v>
      </c>
      <c r="K32" s="29" t="s">
        <v>46</v>
      </c>
      <c r="L32" s="29" t="s">
        <v>203</v>
      </c>
      <c r="M32" s="29" t="s">
        <v>24</v>
      </c>
      <c r="N32" s="29" t="s">
        <v>19</v>
      </c>
      <c r="O32" s="29"/>
      <c r="P32" s="29"/>
    </row>
    <row r="33" spans="1:16" x14ac:dyDescent="0.2">
      <c r="A33" s="29" t="s">
        <v>17</v>
      </c>
      <c r="B33" s="29" t="s">
        <v>200</v>
      </c>
      <c r="C33" s="29" t="s">
        <v>19</v>
      </c>
      <c r="D33" s="29" t="s">
        <v>438</v>
      </c>
      <c r="E33" s="29" t="s">
        <v>439</v>
      </c>
      <c r="F33" s="30">
        <v>44319</v>
      </c>
      <c r="G33" s="29" t="s">
        <v>377</v>
      </c>
      <c r="H33" s="29"/>
      <c r="I33" s="29">
        <v>1</v>
      </c>
      <c r="J33" s="29" t="s">
        <v>115</v>
      </c>
      <c r="K33" s="29" t="s">
        <v>116</v>
      </c>
      <c r="L33" s="29" t="s">
        <v>203</v>
      </c>
      <c r="M33" s="29" t="s">
        <v>24</v>
      </c>
      <c r="N33" s="29" t="s">
        <v>19</v>
      </c>
      <c r="O33" s="29"/>
      <c r="P33" s="29"/>
    </row>
    <row r="34" spans="1:16" x14ac:dyDescent="0.2">
      <c r="A34" s="29" t="s">
        <v>17</v>
      </c>
      <c r="B34" s="29" t="s">
        <v>200</v>
      </c>
      <c r="C34" s="29" t="s">
        <v>19</v>
      </c>
      <c r="D34" s="29" t="s">
        <v>440</v>
      </c>
      <c r="E34" s="29" t="s">
        <v>441</v>
      </c>
      <c r="F34" s="30">
        <v>44322</v>
      </c>
      <c r="G34" s="29" t="s">
        <v>377</v>
      </c>
      <c r="H34" s="29"/>
      <c r="I34" s="29">
        <v>1</v>
      </c>
      <c r="J34" s="29" t="s">
        <v>121</v>
      </c>
      <c r="K34" s="29" t="s">
        <v>122</v>
      </c>
      <c r="L34" s="29" t="s">
        <v>203</v>
      </c>
      <c r="M34" s="29" t="s">
        <v>24</v>
      </c>
      <c r="N34" s="29" t="s">
        <v>19</v>
      </c>
      <c r="O34" s="29"/>
      <c r="P34" s="29"/>
    </row>
    <row r="35" spans="1:16" x14ac:dyDescent="0.2">
      <c r="A35" s="29" t="s">
        <v>17</v>
      </c>
      <c r="B35" s="29" t="s">
        <v>200</v>
      </c>
      <c r="C35" s="29" t="s">
        <v>19</v>
      </c>
      <c r="D35" s="29" t="s">
        <v>442</v>
      </c>
      <c r="E35" s="29" t="s">
        <v>443</v>
      </c>
      <c r="F35" s="30">
        <v>44322</v>
      </c>
      <c r="G35" s="29" t="s">
        <v>377</v>
      </c>
      <c r="H35" s="29">
        <v>4999</v>
      </c>
      <c r="I35" s="29">
        <v>0</v>
      </c>
      <c r="J35" s="29" t="s">
        <v>27</v>
      </c>
      <c r="K35" s="29" t="s">
        <v>28</v>
      </c>
      <c r="L35" s="29" t="s">
        <v>203</v>
      </c>
      <c r="M35" s="29" t="s">
        <v>24</v>
      </c>
      <c r="N35" s="29" t="s">
        <v>19</v>
      </c>
      <c r="O35" s="29"/>
      <c r="P35" s="29"/>
    </row>
    <row r="36" spans="1:16" x14ac:dyDescent="0.2">
      <c r="A36" s="29" t="s">
        <v>17</v>
      </c>
      <c r="B36" s="29" t="s">
        <v>200</v>
      </c>
      <c r="C36" s="29" t="s">
        <v>19</v>
      </c>
      <c r="D36" s="29" t="s">
        <v>444</v>
      </c>
      <c r="E36" s="29" t="s">
        <v>445</v>
      </c>
      <c r="F36" s="30">
        <v>44322</v>
      </c>
      <c r="G36" s="29" t="s">
        <v>377</v>
      </c>
      <c r="H36" s="29">
        <v>11</v>
      </c>
      <c r="I36" s="29">
        <v>0</v>
      </c>
      <c r="J36" s="29" t="s">
        <v>121</v>
      </c>
      <c r="K36" s="29" t="s">
        <v>122</v>
      </c>
      <c r="L36" s="29" t="s">
        <v>203</v>
      </c>
      <c r="M36" s="29" t="s">
        <v>24</v>
      </c>
      <c r="N36" s="29" t="s">
        <v>19</v>
      </c>
      <c r="O36" s="29"/>
      <c r="P36" s="29"/>
    </row>
    <row r="37" spans="1:16" x14ac:dyDescent="0.2">
      <c r="A37" s="29" t="s">
        <v>17</v>
      </c>
      <c r="B37" s="29" t="s">
        <v>200</v>
      </c>
      <c r="C37" s="29" t="s">
        <v>19</v>
      </c>
      <c r="D37" s="29" t="s">
        <v>446</v>
      </c>
      <c r="E37" s="29" t="s">
        <v>447</v>
      </c>
      <c r="F37" s="30">
        <v>44322</v>
      </c>
      <c r="G37" s="29" t="s">
        <v>377</v>
      </c>
      <c r="H37" s="29">
        <v>1000</v>
      </c>
      <c r="I37" s="29">
        <v>0</v>
      </c>
      <c r="J37" s="29" t="s">
        <v>141</v>
      </c>
      <c r="K37" s="29" t="s">
        <v>142</v>
      </c>
      <c r="L37" s="29" t="s">
        <v>203</v>
      </c>
      <c r="M37" s="29" t="s">
        <v>24</v>
      </c>
      <c r="N37" s="29" t="s">
        <v>19</v>
      </c>
      <c r="O37" s="29"/>
      <c r="P37" s="29"/>
    </row>
    <row r="38" spans="1:16" x14ac:dyDescent="0.2">
      <c r="A38" s="29" t="s">
        <v>17</v>
      </c>
      <c r="B38" s="29" t="s">
        <v>200</v>
      </c>
      <c r="C38" s="29" t="s">
        <v>19</v>
      </c>
      <c r="D38" s="29" t="s">
        <v>448</v>
      </c>
      <c r="E38" s="29" t="s">
        <v>449</v>
      </c>
      <c r="F38" s="30">
        <v>44322</v>
      </c>
      <c r="G38" s="29" t="s">
        <v>377</v>
      </c>
      <c r="H38" s="29">
        <v>6460</v>
      </c>
      <c r="I38" s="29">
        <v>0</v>
      </c>
      <c r="J38" s="29" t="s">
        <v>79</v>
      </c>
      <c r="K38" s="29" t="s">
        <v>80</v>
      </c>
      <c r="L38" s="29" t="s">
        <v>203</v>
      </c>
      <c r="M38" s="29" t="s">
        <v>24</v>
      </c>
      <c r="N38" s="29" t="s">
        <v>19</v>
      </c>
      <c r="O38" s="29"/>
      <c r="P38" s="29"/>
    </row>
    <row r="39" spans="1:16" x14ac:dyDescent="0.2">
      <c r="A39" s="29" t="s">
        <v>17</v>
      </c>
      <c r="B39" s="29" t="s">
        <v>200</v>
      </c>
      <c r="C39" s="29" t="s">
        <v>19</v>
      </c>
      <c r="D39" s="29" t="s">
        <v>450</v>
      </c>
      <c r="E39" s="29" t="s">
        <v>451</v>
      </c>
      <c r="F39" s="30">
        <v>44322</v>
      </c>
      <c r="G39" s="29" t="s">
        <v>377</v>
      </c>
      <c r="H39" s="29">
        <v>210.1</v>
      </c>
      <c r="I39" s="29">
        <v>0</v>
      </c>
      <c r="J39" s="29" t="s">
        <v>93</v>
      </c>
      <c r="K39" s="29" t="s">
        <v>94</v>
      </c>
      <c r="L39" s="29" t="s">
        <v>203</v>
      </c>
      <c r="M39" s="29" t="s">
        <v>24</v>
      </c>
      <c r="N39" s="29" t="s">
        <v>19</v>
      </c>
      <c r="O39" s="29"/>
      <c r="P39" s="29"/>
    </row>
    <row r="40" spans="1:16" x14ac:dyDescent="0.2">
      <c r="A40" s="29" t="s">
        <v>17</v>
      </c>
      <c r="B40" s="29" t="s">
        <v>200</v>
      </c>
      <c r="C40" s="29" t="s">
        <v>19</v>
      </c>
      <c r="D40" s="29" t="s">
        <v>452</v>
      </c>
      <c r="E40" s="29" t="s">
        <v>453</v>
      </c>
      <c r="F40" s="30">
        <v>44322</v>
      </c>
      <c r="G40" s="29" t="s">
        <v>377</v>
      </c>
      <c r="H40" s="29"/>
      <c r="I40" s="29">
        <v>1</v>
      </c>
      <c r="J40" s="29" t="s">
        <v>230</v>
      </c>
      <c r="K40" s="29" t="s">
        <v>231</v>
      </c>
      <c r="L40" s="29" t="s">
        <v>203</v>
      </c>
      <c r="M40" s="29" t="s">
        <v>24</v>
      </c>
      <c r="N40" s="29" t="s">
        <v>19</v>
      </c>
      <c r="O40" s="29"/>
      <c r="P40" s="29"/>
    </row>
    <row r="41" spans="1:16" x14ac:dyDescent="0.2">
      <c r="A41" s="29" t="s">
        <v>17</v>
      </c>
      <c r="B41" s="29" t="s">
        <v>200</v>
      </c>
      <c r="C41" s="29" t="s">
        <v>19</v>
      </c>
      <c r="D41" s="29" t="s">
        <v>454</v>
      </c>
      <c r="E41" s="29" t="s">
        <v>455</v>
      </c>
      <c r="F41" s="30">
        <v>44322</v>
      </c>
      <c r="G41" s="29" t="s">
        <v>377</v>
      </c>
      <c r="H41" s="29">
        <v>0.01</v>
      </c>
      <c r="I41" s="29">
        <v>0</v>
      </c>
      <c r="J41" s="29" t="s">
        <v>169</v>
      </c>
      <c r="K41" s="29" t="s">
        <v>170</v>
      </c>
      <c r="L41" s="29" t="s">
        <v>203</v>
      </c>
      <c r="M41" s="29" t="s">
        <v>24</v>
      </c>
      <c r="N41" s="29" t="s">
        <v>19</v>
      </c>
      <c r="O41" s="29"/>
      <c r="P41" s="29"/>
    </row>
    <row r="42" spans="1:16" x14ac:dyDescent="0.2">
      <c r="A42" s="29" t="s">
        <v>17</v>
      </c>
      <c r="B42" s="29" t="s">
        <v>200</v>
      </c>
      <c r="C42" s="29" t="s">
        <v>19</v>
      </c>
      <c r="D42" s="29" t="s">
        <v>456</v>
      </c>
      <c r="E42" s="29" t="s">
        <v>457</v>
      </c>
      <c r="F42" s="30">
        <v>44322</v>
      </c>
      <c r="G42" s="29" t="s">
        <v>377</v>
      </c>
      <c r="H42" s="29">
        <v>1000</v>
      </c>
      <c r="I42" s="29">
        <v>0</v>
      </c>
      <c r="J42" s="29" t="s">
        <v>131</v>
      </c>
      <c r="K42" s="29" t="s">
        <v>132</v>
      </c>
      <c r="L42" s="29" t="s">
        <v>203</v>
      </c>
      <c r="M42" s="29" t="s">
        <v>24</v>
      </c>
      <c r="N42" s="29" t="s">
        <v>19</v>
      </c>
      <c r="O42" s="29"/>
      <c r="P42" s="29"/>
    </row>
    <row r="43" spans="1:16" x14ac:dyDescent="0.2">
      <c r="A43" s="29" t="s">
        <v>17</v>
      </c>
      <c r="B43" s="29" t="s">
        <v>200</v>
      </c>
      <c r="C43" s="29" t="s">
        <v>19</v>
      </c>
      <c r="D43" s="29" t="s">
        <v>458</v>
      </c>
      <c r="E43" s="29" t="s">
        <v>459</v>
      </c>
      <c r="F43" s="30">
        <v>44322</v>
      </c>
      <c r="G43" s="29" t="s">
        <v>377</v>
      </c>
      <c r="H43" s="29"/>
      <c r="I43" s="29">
        <v>1</v>
      </c>
      <c r="J43" s="29" t="s">
        <v>75</v>
      </c>
      <c r="K43" s="29" t="s">
        <v>76</v>
      </c>
      <c r="L43" s="29" t="s">
        <v>203</v>
      </c>
      <c r="M43" s="29" t="s">
        <v>24</v>
      </c>
      <c r="N43" s="29" t="s">
        <v>19</v>
      </c>
      <c r="O43" s="29"/>
      <c r="P43" s="29"/>
    </row>
    <row r="44" spans="1:16" x14ac:dyDescent="0.2">
      <c r="A44" s="29" t="s">
        <v>17</v>
      </c>
      <c r="B44" s="29" t="s">
        <v>200</v>
      </c>
      <c r="C44" s="29" t="s">
        <v>19</v>
      </c>
      <c r="D44" s="29" t="s">
        <v>460</v>
      </c>
      <c r="E44" s="29" t="s">
        <v>461</v>
      </c>
      <c r="F44" s="30">
        <v>44322</v>
      </c>
      <c r="G44" s="29" t="s">
        <v>377</v>
      </c>
      <c r="H44" s="29">
        <v>7787</v>
      </c>
      <c r="I44" s="29">
        <v>0</v>
      </c>
      <c r="J44" s="29" t="s">
        <v>87</v>
      </c>
      <c r="K44" s="29" t="s">
        <v>88</v>
      </c>
      <c r="L44" s="29" t="s">
        <v>203</v>
      </c>
      <c r="M44" s="29" t="s">
        <v>24</v>
      </c>
      <c r="N44" s="29" t="s">
        <v>19</v>
      </c>
      <c r="O44" s="29"/>
      <c r="P44" s="29"/>
    </row>
    <row r="45" spans="1:16" x14ac:dyDescent="0.2">
      <c r="A45" s="29" t="s">
        <v>17</v>
      </c>
      <c r="B45" s="29" t="s">
        <v>200</v>
      </c>
      <c r="C45" s="29" t="s">
        <v>19</v>
      </c>
      <c r="D45" s="29" t="s">
        <v>462</v>
      </c>
      <c r="E45" s="29" t="s">
        <v>463</v>
      </c>
      <c r="F45" s="30">
        <v>44322</v>
      </c>
      <c r="G45" s="29" t="s">
        <v>377</v>
      </c>
      <c r="H45" s="29">
        <v>15.01</v>
      </c>
      <c r="I45" s="29">
        <v>0</v>
      </c>
      <c r="J45" s="29" t="s">
        <v>45</v>
      </c>
      <c r="K45" s="29" t="s">
        <v>46</v>
      </c>
      <c r="L45" s="29" t="s">
        <v>203</v>
      </c>
      <c r="M45" s="29" t="s">
        <v>24</v>
      </c>
      <c r="N45" s="29" t="s">
        <v>19</v>
      </c>
      <c r="O45" s="29"/>
      <c r="P45" s="29"/>
    </row>
    <row r="46" spans="1:16" x14ac:dyDescent="0.2">
      <c r="A46" s="29" t="s">
        <v>17</v>
      </c>
      <c r="B46" s="29" t="s">
        <v>200</v>
      </c>
      <c r="C46" s="29" t="s">
        <v>19</v>
      </c>
      <c r="D46" s="29" t="s">
        <v>464</v>
      </c>
      <c r="E46" s="29" t="s">
        <v>465</v>
      </c>
      <c r="F46" s="30">
        <v>44322</v>
      </c>
      <c r="G46" s="29" t="s">
        <v>377</v>
      </c>
      <c r="H46" s="29">
        <v>200</v>
      </c>
      <c r="I46" s="29">
        <v>0</v>
      </c>
      <c r="J46" s="29" t="s">
        <v>129</v>
      </c>
      <c r="K46" s="29" t="s">
        <v>130</v>
      </c>
      <c r="L46" s="29" t="s">
        <v>203</v>
      </c>
      <c r="M46" s="29" t="s">
        <v>24</v>
      </c>
      <c r="N46" s="29" t="s">
        <v>19</v>
      </c>
      <c r="O46" s="29"/>
      <c r="P46" s="29"/>
    </row>
    <row r="47" spans="1:16" x14ac:dyDescent="0.2">
      <c r="A47" s="29" t="s">
        <v>17</v>
      </c>
      <c r="B47" s="29" t="s">
        <v>200</v>
      </c>
      <c r="C47" s="29" t="s">
        <v>19</v>
      </c>
      <c r="D47" s="29" t="s">
        <v>466</v>
      </c>
      <c r="E47" s="29" t="s">
        <v>467</v>
      </c>
      <c r="F47" s="30">
        <v>44322</v>
      </c>
      <c r="G47" s="29" t="s">
        <v>377</v>
      </c>
      <c r="H47" s="29">
        <v>100</v>
      </c>
      <c r="I47" s="29">
        <v>0</v>
      </c>
      <c r="J47" s="29" t="s">
        <v>21</v>
      </c>
      <c r="K47" s="29" t="s">
        <v>22</v>
      </c>
      <c r="L47" s="29" t="s">
        <v>203</v>
      </c>
      <c r="M47" s="29" t="s">
        <v>24</v>
      </c>
      <c r="N47" s="29" t="s">
        <v>19</v>
      </c>
      <c r="O47" s="29"/>
      <c r="P47" s="29"/>
    </row>
    <row r="48" spans="1:16" x14ac:dyDescent="0.2">
      <c r="A48" s="29" t="s">
        <v>17</v>
      </c>
      <c r="B48" s="29" t="s">
        <v>200</v>
      </c>
      <c r="C48" s="29" t="s">
        <v>19</v>
      </c>
      <c r="D48" s="29" t="s">
        <v>468</v>
      </c>
      <c r="E48" s="29" t="s">
        <v>469</v>
      </c>
      <c r="F48" s="30">
        <v>44322</v>
      </c>
      <c r="G48" s="29" t="s">
        <v>377</v>
      </c>
      <c r="H48" s="29"/>
      <c r="I48" s="29">
        <v>1</v>
      </c>
      <c r="J48" s="29" t="s">
        <v>21</v>
      </c>
      <c r="K48" s="29" t="s">
        <v>22</v>
      </c>
      <c r="L48" s="29" t="s">
        <v>203</v>
      </c>
      <c r="M48" s="29" t="s">
        <v>24</v>
      </c>
      <c r="N48" s="29" t="s">
        <v>19</v>
      </c>
      <c r="O48" s="29"/>
      <c r="P48" s="29"/>
    </row>
    <row r="49" spans="1:16" x14ac:dyDescent="0.2">
      <c r="A49" s="29" t="s">
        <v>17</v>
      </c>
      <c r="B49" s="29" t="s">
        <v>200</v>
      </c>
      <c r="C49" s="29" t="s">
        <v>19</v>
      </c>
      <c r="D49" s="29" t="s">
        <v>470</v>
      </c>
      <c r="E49" s="29" t="s">
        <v>471</v>
      </c>
      <c r="F49" s="30">
        <v>44322</v>
      </c>
      <c r="G49" s="29" t="s">
        <v>377</v>
      </c>
      <c r="H49" s="29">
        <v>700.01</v>
      </c>
      <c r="I49" s="29">
        <v>0</v>
      </c>
      <c r="J49" s="29" t="s">
        <v>21</v>
      </c>
      <c r="K49" s="29" t="s">
        <v>22</v>
      </c>
      <c r="L49" s="29" t="s">
        <v>203</v>
      </c>
      <c r="M49" s="29" t="s">
        <v>24</v>
      </c>
      <c r="N49" s="29" t="s">
        <v>19</v>
      </c>
      <c r="O49" s="29"/>
      <c r="P49" s="29"/>
    </row>
    <row r="50" spans="1:16" x14ac:dyDescent="0.2">
      <c r="A50" s="29" t="s">
        <v>17</v>
      </c>
      <c r="B50" s="29" t="s">
        <v>200</v>
      </c>
      <c r="C50" s="29" t="s">
        <v>19</v>
      </c>
      <c r="D50" s="29" t="s">
        <v>472</v>
      </c>
      <c r="E50" s="29" t="s">
        <v>473</v>
      </c>
      <c r="F50" s="30">
        <v>44323</v>
      </c>
      <c r="G50" s="29" t="s">
        <v>377</v>
      </c>
      <c r="H50" s="29">
        <v>100</v>
      </c>
      <c r="I50" s="29">
        <v>0</v>
      </c>
      <c r="J50" s="29" t="s">
        <v>121</v>
      </c>
      <c r="K50" s="29" t="s">
        <v>122</v>
      </c>
      <c r="L50" s="29" t="s">
        <v>203</v>
      </c>
      <c r="M50" s="29" t="s">
        <v>24</v>
      </c>
      <c r="N50" s="29" t="s">
        <v>19</v>
      </c>
      <c r="O50" s="29"/>
      <c r="P50" s="29"/>
    </row>
    <row r="51" spans="1:16" x14ac:dyDescent="0.2">
      <c r="A51" s="29" t="s">
        <v>17</v>
      </c>
      <c r="B51" s="29" t="s">
        <v>200</v>
      </c>
      <c r="C51" s="29" t="s">
        <v>19</v>
      </c>
      <c r="D51" s="29" t="s">
        <v>474</v>
      </c>
      <c r="E51" s="29" t="s">
        <v>475</v>
      </c>
      <c r="F51" s="30">
        <v>44323</v>
      </c>
      <c r="G51" s="29" t="s">
        <v>377</v>
      </c>
      <c r="H51" s="29">
        <v>100</v>
      </c>
      <c r="I51" s="29">
        <v>0</v>
      </c>
      <c r="J51" s="29" t="s">
        <v>21</v>
      </c>
      <c r="K51" s="29" t="s">
        <v>22</v>
      </c>
      <c r="L51" s="29" t="s">
        <v>203</v>
      </c>
      <c r="M51" s="29" t="s">
        <v>24</v>
      </c>
      <c r="N51" s="29" t="s">
        <v>19</v>
      </c>
      <c r="O51" s="29"/>
      <c r="P51" s="29"/>
    </row>
    <row r="52" spans="1:16" x14ac:dyDescent="0.2">
      <c r="A52" s="29" t="s">
        <v>17</v>
      </c>
      <c r="B52" s="29" t="s">
        <v>200</v>
      </c>
      <c r="C52" s="29" t="s">
        <v>19</v>
      </c>
      <c r="D52" s="29" t="s">
        <v>476</v>
      </c>
      <c r="E52" s="29" t="s">
        <v>477</v>
      </c>
      <c r="F52" s="30">
        <v>44323</v>
      </c>
      <c r="G52" s="29" t="s">
        <v>377</v>
      </c>
      <c r="H52" s="29">
        <v>100</v>
      </c>
      <c r="I52" s="29">
        <v>0</v>
      </c>
      <c r="J52" s="29" t="s">
        <v>129</v>
      </c>
      <c r="K52" s="29" t="s">
        <v>130</v>
      </c>
      <c r="L52" s="29" t="s">
        <v>203</v>
      </c>
      <c r="M52" s="29" t="s">
        <v>24</v>
      </c>
      <c r="N52" s="29" t="s">
        <v>19</v>
      </c>
      <c r="O52" s="29"/>
      <c r="P52" s="29"/>
    </row>
    <row r="53" spans="1:16" x14ac:dyDescent="0.2">
      <c r="A53" s="29" t="s">
        <v>17</v>
      </c>
      <c r="B53" s="29" t="s">
        <v>200</v>
      </c>
      <c r="C53" s="29" t="s">
        <v>19</v>
      </c>
      <c r="D53" s="29" t="s">
        <v>478</v>
      </c>
      <c r="E53" s="29" t="s">
        <v>479</v>
      </c>
      <c r="F53" s="30">
        <v>44323</v>
      </c>
      <c r="G53" s="29" t="s">
        <v>377</v>
      </c>
      <c r="H53" s="29">
        <v>100</v>
      </c>
      <c r="I53" s="29">
        <v>0</v>
      </c>
      <c r="J53" s="29" t="s">
        <v>61</v>
      </c>
      <c r="K53" s="29" t="s">
        <v>62</v>
      </c>
      <c r="L53" s="29" t="s">
        <v>203</v>
      </c>
      <c r="M53" s="29" t="s">
        <v>24</v>
      </c>
      <c r="N53" s="29" t="s">
        <v>19</v>
      </c>
      <c r="O53" s="29"/>
      <c r="P53" s="29"/>
    </row>
    <row r="54" spans="1:16" x14ac:dyDescent="0.2">
      <c r="A54" s="29" t="s">
        <v>17</v>
      </c>
      <c r="B54" s="29" t="s">
        <v>200</v>
      </c>
      <c r="C54" s="29" t="s">
        <v>19</v>
      </c>
      <c r="D54" s="29" t="s">
        <v>480</v>
      </c>
      <c r="E54" s="29" t="s">
        <v>481</v>
      </c>
      <c r="F54" s="30">
        <v>44323</v>
      </c>
      <c r="G54" s="29" t="s">
        <v>377</v>
      </c>
      <c r="H54" s="29">
        <v>4980</v>
      </c>
      <c r="I54" s="29">
        <v>0</v>
      </c>
      <c r="J54" s="29" t="s">
        <v>115</v>
      </c>
      <c r="K54" s="29" t="s">
        <v>116</v>
      </c>
      <c r="L54" s="29" t="s">
        <v>203</v>
      </c>
      <c r="M54" s="29" t="s">
        <v>24</v>
      </c>
      <c r="N54" s="29" t="s">
        <v>19</v>
      </c>
      <c r="O54" s="29"/>
      <c r="P54" s="29"/>
    </row>
    <row r="55" spans="1:16" x14ac:dyDescent="0.2">
      <c r="A55" s="29" t="s">
        <v>17</v>
      </c>
      <c r="B55" s="29" t="s">
        <v>200</v>
      </c>
      <c r="C55" s="29" t="s">
        <v>19</v>
      </c>
      <c r="D55" s="29" t="s">
        <v>482</v>
      </c>
      <c r="E55" s="29" t="s">
        <v>483</v>
      </c>
      <c r="F55" s="30">
        <v>44323</v>
      </c>
      <c r="G55" s="29" t="s">
        <v>377</v>
      </c>
      <c r="H55" s="29">
        <v>150</v>
      </c>
      <c r="I55" s="29">
        <v>0</v>
      </c>
      <c r="J55" s="29" t="s">
        <v>87</v>
      </c>
      <c r="K55" s="29" t="s">
        <v>88</v>
      </c>
      <c r="L55" s="29" t="s">
        <v>203</v>
      </c>
      <c r="M55" s="29" t="s">
        <v>24</v>
      </c>
      <c r="N55" s="29" t="s">
        <v>19</v>
      </c>
      <c r="O55" s="29"/>
      <c r="P55" s="29"/>
    </row>
    <row r="56" spans="1:16" x14ac:dyDescent="0.2">
      <c r="A56" s="29" t="s">
        <v>17</v>
      </c>
      <c r="B56" s="29" t="s">
        <v>200</v>
      </c>
      <c r="C56" s="29" t="s">
        <v>19</v>
      </c>
      <c r="D56" s="29" t="s">
        <v>484</v>
      </c>
      <c r="E56" s="29" t="s">
        <v>485</v>
      </c>
      <c r="F56" s="30">
        <v>44323</v>
      </c>
      <c r="G56" s="29" t="s">
        <v>377</v>
      </c>
      <c r="H56" s="29">
        <v>4530.01</v>
      </c>
      <c r="I56" s="29">
        <v>0</v>
      </c>
      <c r="J56" s="29" t="s">
        <v>131</v>
      </c>
      <c r="K56" s="29" t="s">
        <v>132</v>
      </c>
      <c r="L56" s="29" t="s">
        <v>203</v>
      </c>
      <c r="M56" s="29" t="s">
        <v>24</v>
      </c>
      <c r="N56" s="29" t="s">
        <v>19</v>
      </c>
      <c r="O56" s="29"/>
      <c r="P56" s="29"/>
    </row>
    <row r="57" spans="1:16" x14ac:dyDescent="0.2">
      <c r="A57" s="29" t="s">
        <v>17</v>
      </c>
      <c r="B57" s="29" t="s">
        <v>200</v>
      </c>
      <c r="C57" s="29" t="s">
        <v>19</v>
      </c>
      <c r="D57" s="29" t="s">
        <v>486</v>
      </c>
      <c r="E57" s="29" t="s">
        <v>487</v>
      </c>
      <c r="F57" s="30">
        <v>44323</v>
      </c>
      <c r="G57" s="29" t="s">
        <v>377</v>
      </c>
      <c r="H57" s="29">
        <v>1100</v>
      </c>
      <c r="I57" s="29">
        <v>0</v>
      </c>
      <c r="J57" s="29" t="s">
        <v>246</v>
      </c>
      <c r="K57" s="29" t="s">
        <v>247</v>
      </c>
      <c r="L57" s="29" t="s">
        <v>203</v>
      </c>
      <c r="M57" s="29" t="s">
        <v>24</v>
      </c>
      <c r="N57" s="29" t="s">
        <v>19</v>
      </c>
      <c r="O57" s="29"/>
      <c r="P57" s="29"/>
    </row>
    <row r="58" spans="1:16" x14ac:dyDescent="0.2">
      <c r="A58" s="29" t="s">
        <v>17</v>
      </c>
      <c r="B58" s="29" t="s">
        <v>200</v>
      </c>
      <c r="C58" s="29" t="s">
        <v>19</v>
      </c>
      <c r="D58" s="29" t="s">
        <v>488</v>
      </c>
      <c r="E58" s="29" t="s">
        <v>489</v>
      </c>
      <c r="F58" s="30">
        <v>44323</v>
      </c>
      <c r="G58" s="29" t="s">
        <v>377</v>
      </c>
      <c r="H58" s="29">
        <v>55.5</v>
      </c>
      <c r="I58" s="29">
        <v>0</v>
      </c>
      <c r="J58" s="29" t="s">
        <v>250</v>
      </c>
      <c r="K58" s="29" t="s">
        <v>251</v>
      </c>
      <c r="L58" s="29" t="s">
        <v>203</v>
      </c>
      <c r="M58" s="29" t="s">
        <v>24</v>
      </c>
      <c r="N58" s="29" t="s">
        <v>19</v>
      </c>
      <c r="O58" s="29"/>
      <c r="P58" s="29"/>
    </row>
    <row r="59" spans="1:16" x14ac:dyDescent="0.2">
      <c r="A59" s="29" t="s">
        <v>17</v>
      </c>
      <c r="B59" s="29" t="s">
        <v>200</v>
      </c>
      <c r="C59" s="29" t="s">
        <v>19</v>
      </c>
      <c r="D59" s="29" t="s">
        <v>490</v>
      </c>
      <c r="E59" s="29" t="s">
        <v>491</v>
      </c>
      <c r="F59" s="30">
        <v>44323</v>
      </c>
      <c r="G59" s="29" t="s">
        <v>377</v>
      </c>
      <c r="H59" s="29">
        <v>100</v>
      </c>
      <c r="I59" s="29">
        <v>0</v>
      </c>
      <c r="J59" s="29" t="s">
        <v>169</v>
      </c>
      <c r="K59" s="29" t="s">
        <v>170</v>
      </c>
      <c r="L59" s="29" t="s">
        <v>203</v>
      </c>
      <c r="M59" s="29" t="s">
        <v>24</v>
      </c>
      <c r="N59" s="29" t="s">
        <v>19</v>
      </c>
      <c r="O59" s="29"/>
      <c r="P59" s="29"/>
    </row>
    <row r="60" spans="1:16" x14ac:dyDescent="0.2">
      <c r="A60" s="29" t="s">
        <v>17</v>
      </c>
      <c r="B60" s="29" t="s">
        <v>200</v>
      </c>
      <c r="C60" s="29" t="s">
        <v>19</v>
      </c>
      <c r="D60" s="29" t="s">
        <v>492</v>
      </c>
      <c r="E60" s="29" t="s">
        <v>493</v>
      </c>
      <c r="F60" s="30">
        <v>44323</v>
      </c>
      <c r="G60" s="29" t="s">
        <v>377</v>
      </c>
      <c r="H60" s="29">
        <v>11</v>
      </c>
      <c r="I60" s="29">
        <v>0</v>
      </c>
      <c r="J60" s="29" t="s">
        <v>169</v>
      </c>
      <c r="K60" s="29" t="s">
        <v>170</v>
      </c>
      <c r="L60" s="29" t="s">
        <v>203</v>
      </c>
      <c r="M60" s="29" t="s">
        <v>24</v>
      </c>
      <c r="N60" s="29" t="s">
        <v>19</v>
      </c>
      <c r="O60" s="29"/>
      <c r="P60" s="29"/>
    </row>
    <row r="61" spans="1:16" x14ac:dyDescent="0.2">
      <c r="A61" s="29" t="s">
        <v>17</v>
      </c>
      <c r="B61" s="29" t="s">
        <v>200</v>
      </c>
      <c r="C61" s="29" t="s">
        <v>19</v>
      </c>
      <c r="D61" s="29" t="s">
        <v>494</v>
      </c>
      <c r="E61" s="29" t="s">
        <v>495</v>
      </c>
      <c r="F61" s="30">
        <v>44323</v>
      </c>
      <c r="G61" s="29" t="s">
        <v>377</v>
      </c>
      <c r="H61" s="29"/>
      <c r="I61" s="29">
        <v>1</v>
      </c>
      <c r="J61" s="29" t="s">
        <v>246</v>
      </c>
      <c r="K61" s="29" t="s">
        <v>247</v>
      </c>
      <c r="L61" s="29" t="s">
        <v>203</v>
      </c>
      <c r="M61" s="29" t="s">
        <v>24</v>
      </c>
      <c r="N61" s="29" t="s">
        <v>19</v>
      </c>
      <c r="O61" s="29"/>
      <c r="P61" s="29"/>
    </row>
    <row r="62" spans="1:16" x14ac:dyDescent="0.2">
      <c r="A62" s="29" t="s">
        <v>17</v>
      </c>
      <c r="B62" s="29" t="s">
        <v>200</v>
      </c>
      <c r="C62" s="29" t="s">
        <v>19</v>
      </c>
      <c r="D62" s="29" t="s">
        <v>496</v>
      </c>
      <c r="E62" s="29" t="s">
        <v>497</v>
      </c>
      <c r="F62" s="30">
        <v>44323</v>
      </c>
      <c r="G62" s="29" t="s">
        <v>377</v>
      </c>
      <c r="H62" s="29">
        <v>2001</v>
      </c>
      <c r="I62" s="29">
        <v>0</v>
      </c>
      <c r="J62" s="29" t="s">
        <v>79</v>
      </c>
      <c r="K62" s="29" t="s">
        <v>80</v>
      </c>
      <c r="L62" s="29" t="s">
        <v>203</v>
      </c>
      <c r="M62" s="29" t="s">
        <v>24</v>
      </c>
      <c r="N62" s="29" t="s">
        <v>19</v>
      </c>
      <c r="O62" s="29"/>
      <c r="P62" s="29"/>
    </row>
    <row r="63" spans="1:16" x14ac:dyDescent="0.2">
      <c r="A63" s="29" t="s">
        <v>17</v>
      </c>
      <c r="B63" s="29" t="s">
        <v>200</v>
      </c>
      <c r="C63" s="29" t="s">
        <v>19</v>
      </c>
      <c r="D63" s="29" t="s">
        <v>498</v>
      </c>
      <c r="E63" s="29" t="s">
        <v>499</v>
      </c>
      <c r="F63" s="30">
        <v>44323</v>
      </c>
      <c r="G63" s="29" t="s">
        <v>377</v>
      </c>
      <c r="H63" s="29"/>
      <c r="I63" s="29">
        <v>1</v>
      </c>
      <c r="J63" s="29" t="s">
        <v>232</v>
      </c>
      <c r="K63" s="29" t="s">
        <v>233</v>
      </c>
      <c r="L63" s="29" t="s">
        <v>203</v>
      </c>
      <c r="M63" s="29" t="s">
        <v>24</v>
      </c>
      <c r="N63" s="29" t="s">
        <v>19</v>
      </c>
      <c r="O63" s="29"/>
      <c r="P63" s="29"/>
    </row>
    <row r="64" spans="1:16" x14ac:dyDescent="0.2">
      <c r="A64" s="29" t="s">
        <v>17</v>
      </c>
      <c r="B64" s="29" t="s">
        <v>200</v>
      </c>
      <c r="C64" s="29" t="s">
        <v>19</v>
      </c>
      <c r="D64" s="29" t="s">
        <v>500</v>
      </c>
      <c r="E64" s="29" t="s">
        <v>501</v>
      </c>
      <c r="F64" s="30">
        <v>44323</v>
      </c>
      <c r="G64" s="29" t="s">
        <v>377</v>
      </c>
      <c r="H64" s="29">
        <v>5000</v>
      </c>
      <c r="I64" s="29">
        <v>0</v>
      </c>
      <c r="J64" s="29" t="s">
        <v>29</v>
      </c>
      <c r="K64" s="29" t="s">
        <v>30</v>
      </c>
      <c r="L64" s="29" t="s">
        <v>203</v>
      </c>
      <c r="M64" s="29" t="s">
        <v>24</v>
      </c>
      <c r="N64" s="29" t="s">
        <v>19</v>
      </c>
      <c r="O64" s="29"/>
      <c r="P64" s="29"/>
    </row>
    <row r="65" spans="1:16" x14ac:dyDescent="0.2">
      <c r="A65" s="29" t="s">
        <v>17</v>
      </c>
      <c r="B65" s="29" t="s">
        <v>200</v>
      </c>
      <c r="C65" s="29" t="s">
        <v>19</v>
      </c>
      <c r="D65" s="29" t="s">
        <v>502</v>
      </c>
      <c r="E65" s="29" t="s">
        <v>503</v>
      </c>
      <c r="F65" s="30">
        <v>44323</v>
      </c>
      <c r="G65" s="29" t="s">
        <v>377</v>
      </c>
      <c r="H65" s="29"/>
      <c r="I65" s="29">
        <v>1</v>
      </c>
      <c r="J65" s="29" t="s">
        <v>21</v>
      </c>
      <c r="K65" s="29" t="s">
        <v>22</v>
      </c>
      <c r="L65" s="29" t="s">
        <v>203</v>
      </c>
      <c r="M65" s="29" t="s">
        <v>24</v>
      </c>
      <c r="N65" s="29" t="s">
        <v>19</v>
      </c>
      <c r="O65" s="29"/>
      <c r="P65" s="29"/>
    </row>
    <row r="66" spans="1:16" x14ac:dyDescent="0.2">
      <c r="A66" s="29" t="s">
        <v>17</v>
      </c>
      <c r="B66" s="29" t="s">
        <v>200</v>
      </c>
      <c r="C66" s="29" t="s">
        <v>19</v>
      </c>
      <c r="D66" s="29" t="s">
        <v>504</v>
      </c>
      <c r="E66" s="29" t="s">
        <v>505</v>
      </c>
      <c r="F66" s="30">
        <v>44323</v>
      </c>
      <c r="G66" s="29" t="s">
        <v>377</v>
      </c>
      <c r="H66" s="29"/>
      <c r="I66" s="29">
        <v>1</v>
      </c>
      <c r="J66" s="29" t="s">
        <v>21</v>
      </c>
      <c r="K66" s="29" t="s">
        <v>22</v>
      </c>
      <c r="L66" s="29" t="s">
        <v>203</v>
      </c>
      <c r="M66" s="29" t="s">
        <v>24</v>
      </c>
      <c r="N66" s="29" t="s">
        <v>19</v>
      </c>
      <c r="O66" s="29"/>
      <c r="P66" s="29"/>
    </row>
    <row r="67" spans="1:16" x14ac:dyDescent="0.2">
      <c r="A67" s="29" t="s">
        <v>17</v>
      </c>
      <c r="B67" s="29" t="s">
        <v>200</v>
      </c>
      <c r="C67" s="29" t="s">
        <v>19</v>
      </c>
      <c r="D67" s="29" t="s">
        <v>506</v>
      </c>
      <c r="E67" s="29" t="s">
        <v>507</v>
      </c>
      <c r="F67" s="30">
        <v>44323</v>
      </c>
      <c r="G67" s="29" t="s">
        <v>377</v>
      </c>
      <c r="H67" s="29">
        <v>50</v>
      </c>
      <c r="I67" s="29">
        <v>0</v>
      </c>
      <c r="J67" s="29" t="s">
        <v>230</v>
      </c>
      <c r="K67" s="29" t="s">
        <v>231</v>
      </c>
      <c r="L67" s="29" t="s">
        <v>203</v>
      </c>
      <c r="M67" s="29" t="s">
        <v>24</v>
      </c>
      <c r="N67" s="29" t="s">
        <v>19</v>
      </c>
      <c r="O67" s="29"/>
      <c r="P67" s="29"/>
    </row>
    <row r="68" spans="1:16" x14ac:dyDescent="0.2">
      <c r="A68" s="29" t="s">
        <v>17</v>
      </c>
      <c r="B68" s="29" t="s">
        <v>200</v>
      </c>
      <c r="C68" s="29" t="s">
        <v>19</v>
      </c>
      <c r="D68" s="29" t="s">
        <v>508</v>
      </c>
      <c r="E68" s="29" t="s">
        <v>509</v>
      </c>
      <c r="F68" s="30">
        <v>44323</v>
      </c>
      <c r="G68" s="29" t="s">
        <v>377</v>
      </c>
      <c r="H68" s="29">
        <v>5048</v>
      </c>
      <c r="I68" s="29">
        <v>0</v>
      </c>
      <c r="J68" s="29" t="s">
        <v>232</v>
      </c>
      <c r="K68" s="29" t="s">
        <v>233</v>
      </c>
      <c r="L68" s="29" t="s">
        <v>203</v>
      </c>
      <c r="M68" s="29" t="s">
        <v>24</v>
      </c>
      <c r="N68" s="29" t="s">
        <v>19</v>
      </c>
      <c r="O68" s="29"/>
      <c r="P68" s="29"/>
    </row>
    <row r="69" spans="1:16" x14ac:dyDescent="0.2">
      <c r="A69" s="29" t="s">
        <v>17</v>
      </c>
      <c r="B69" s="29" t="s">
        <v>200</v>
      </c>
      <c r="C69" s="29" t="s">
        <v>19</v>
      </c>
      <c r="D69" s="29" t="s">
        <v>510</v>
      </c>
      <c r="E69" s="29" t="s">
        <v>511</v>
      </c>
      <c r="F69" s="30">
        <v>44322</v>
      </c>
      <c r="G69" s="29" t="s">
        <v>377</v>
      </c>
      <c r="H69" s="29">
        <v>1000</v>
      </c>
      <c r="I69" s="29">
        <v>0</v>
      </c>
      <c r="J69" s="29" t="s">
        <v>71</v>
      </c>
      <c r="K69" s="29" t="s">
        <v>72</v>
      </c>
      <c r="L69" s="29" t="s">
        <v>203</v>
      </c>
      <c r="M69" s="29" t="s">
        <v>24</v>
      </c>
      <c r="N69" s="29" t="s">
        <v>19</v>
      </c>
      <c r="O69" s="29"/>
      <c r="P69" s="29"/>
    </row>
    <row r="70" spans="1:16" x14ac:dyDescent="0.2">
      <c r="A70" s="29" t="s">
        <v>17</v>
      </c>
      <c r="B70" s="29" t="s">
        <v>200</v>
      </c>
      <c r="C70" s="29" t="s">
        <v>19</v>
      </c>
      <c r="D70" s="29" t="s">
        <v>512</v>
      </c>
      <c r="E70" s="29" t="s">
        <v>513</v>
      </c>
      <c r="F70" s="30">
        <v>44323</v>
      </c>
      <c r="G70" s="29" t="s">
        <v>377</v>
      </c>
      <c r="H70" s="29">
        <v>15.15</v>
      </c>
      <c r="I70" s="29">
        <v>0</v>
      </c>
      <c r="J70" s="29" t="s">
        <v>25</v>
      </c>
      <c r="K70" s="29" t="s">
        <v>26</v>
      </c>
      <c r="L70" s="29" t="s">
        <v>203</v>
      </c>
      <c r="M70" s="29" t="s">
        <v>24</v>
      </c>
      <c r="N70" s="29" t="s">
        <v>19</v>
      </c>
      <c r="O70" s="29"/>
      <c r="P70" s="29"/>
    </row>
    <row r="71" spans="1:16" x14ac:dyDescent="0.2">
      <c r="A71" s="29" t="s">
        <v>17</v>
      </c>
      <c r="B71" s="29" t="s">
        <v>200</v>
      </c>
      <c r="C71" s="29" t="s">
        <v>19</v>
      </c>
      <c r="D71" s="29" t="s">
        <v>514</v>
      </c>
      <c r="E71" s="29" t="s">
        <v>515</v>
      </c>
      <c r="F71" s="30">
        <v>44323</v>
      </c>
      <c r="G71" s="29" t="s">
        <v>377</v>
      </c>
      <c r="H71" s="29">
        <v>3657</v>
      </c>
      <c r="I71" s="29">
        <v>0</v>
      </c>
      <c r="J71" s="29" t="s">
        <v>25</v>
      </c>
      <c r="K71" s="29" t="s">
        <v>26</v>
      </c>
      <c r="L71" s="29" t="s">
        <v>203</v>
      </c>
      <c r="M71" s="29" t="s">
        <v>24</v>
      </c>
      <c r="N71" s="29" t="s">
        <v>19</v>
      </c>
      <c r="O71" s="29"/>
      <c r="P71" s="29"/>
    </row>
    <row r="72" spans="1:16" x14ac:dyDescent="0.2">
      <c r="A72" s="29" t="s">
        <v>17</v>
      </c>
      <c r="B72" s="29" t="s">
        <v>200</v>
      </c>
      <c r="C72" s="29" t="s">
        <v>19</v>
      </c>
      <c r="D72" s="29" t="s">
        <v>516</v>
      </c>
      <c r="E72" s="29" t="s">
        <v>517</v>
      </c>
      <c r="F72" s="30">
        <v>44323</v>
      </c>
      <c r="G72" s="29" t="s">
        <v>377</v>
      </c>
      <c r="H72" s="29">
        <v>100</v>
      </c>
      <c r="I72" s="29">
        <v>0</v>
      </c>
      <c r="J72" s="29" t="s">
        <v>39</v>
      </c>
      <c r="K72" s="29" t="s">
        <v>40</v>
      </c>
      <c r="L72" s="29" t="s">
        <v>203</v>
      </c>
      <c r="M72" s="29" t="s">
        <v>24</v>
      </c>
      <c r="N72" s="29" t="s">
        <v>19</v>
      </c>
      <c r="O72" s="29"/>
      <c r="P72" s="29"/>
    </row>
    <row r="73" spans="1:16" x14ac:dyDescent="0.2">
      <c r="A73" s="29" t="s">
        <v>17</v>
      </c>
      <c r="B73" s="29" t="s">
        <v>200</v>
      </c>
      <c r="C73" s="29" t="s">
        <v>19</v>
      </c>
      <c r="D73" s="29" t="s">
        <v>518</v>
      </c>
      <c r="E73" s="29" t="s">
        <v>519</v>
      </c>
      <c r="F73" s="30">
        <v>44323</v>
      </c>
      <c r="G73" s="29" t="s">
        <v>377</v>
      </c>
      <c r="H73" s="29"/>
      <c r="I73" s="29">
        <v>1</v>
      </c>
      <c r="J73" s="29" t="s">
        <v>25</v>
      </c>
      <c r="K73" s="29" t="s">
        <v>26</v>
      </c>
      <c r="L73" s="29" t="s">
        <v>203</v>
      </c>
      <c r="M73" s="29" t="s">
        <v>24</v>
      </c>
      <c r="N73" s="29" t="s">
        <v>19</v>
      </c>
      <c r="O73" s="29"/>
      <c r="P73" s="29"/>
    </row>
    <row r="74" spans="1:16" x14ac:dyDescent="0.2">
      <c r="A74" s="29" t="s">
        <v>17</v>
      </c>
      <c r="B74" s="29" t="s">
        <v>200</v>
      </c>
      <c r="C74" s="29" t="s">
        <v>19</v>
      </c>
      <c r="D74" s="29" t="s">
        <v>520</v>
      </c>
      <c r="E74" s="29" t="s">
        <v>521</v>
      </c>
      <c r="F74" s="30">
        <v>44323</v>
      </c>
      <c r="G74" s="29" t="s">
        <v>377</v>
      </c>
      <c r="H74" s="29">
        <v>200</v>
      </c>
      <c r="I74" s="29">
        <v>0</v>
      </c>
      <c r="J74" s="29" t="s">
        <v>95</v>
      </c>
      <c r="K74" s="29" t="s">
        <v>96</v>
      </c>
      <c r="L74" s="29" t="s">
        <v>203</v>
      </c>
      <c r="M74" s="29" t="s">
        <v>24</v>
      </c>
      <c r="N74" s="29" t="s">
        <v>19</v>
      </c>
      <c r="O74" s="29"/>
      <c r="P74" s="29"/>
    </row>
    <row r="75" spans="1:16" x14ac:dyDescent="0.2">
      <c r="A75" s="29" t="s">
        <v>17</v>
      </c>
      <c r="B75" s="29" t="s">
        <v>200</v>
      </c>
      <c r="C75" s="29" t="s">
        <v>19</v>
      </c>
      <c r="D75" s="29" t="s">
        <v>522</v>
      </c>
      <c r="E75" s="29" t="s">
        <v>523</v>
      </c>
      <c r="F75" s="30">
        <v>44323</v>
      </c>
      <c r="G75" s="29" t="s">
        <v>377</v>
      </c>
      <c r="H75" s="29"/>
      <c r="I75" s="29">
        <v>1</v>
      </c>
      <c r="J75" s="29" t="s">
        <v>159</v>
      </c>
      <c r="K75" s="29" t="s">
        <v>160</v>
      </c>
      <c r="L75" s="29" t="s">
        <v>203</v>
      </c>
      <c r="M75" s="29" t="s">
        <v>24</v>
      </c>
      <c r="N75" s="29" t="s">
        <v>19</v>
      </c>
      <c r="O75" s="29"/>
      <c r="P75" s="29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223E-BBB8-496A-8B28-B6006CA9D2E5}">
  <sheetPr codeName="Sheet6"/>
  <dimension ref="A1:P1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4.75" bestFit="1" customWidth="1"/>
    <col min="3" max="3" width="13" bestFit="1" customWidth="1"/>
    <col min="4" max="4" width="22.625" bestFit="1" customWidth="1"/>
    <col min="5" max="5" width="18.125" bestFit="1" customWidth="1"/>
    <col min="9" max="10" width="7.125" bestFit="1" customWidth="1"/>
    <col min="11" max="11" width="9.5" bestFit="1" customWidth="1"/>
    <col min="12" max="12" width="20.375" bestFit="1" customWidth="1"/>
    <col min="13" max="13" width="5.25" bestFit="1" customWidth="1"/>
    <col min="14" max="14" width="13" bestFit="1" customWidth="1"/>
  </cols>
  <sheetData>
    <row r="1" spans="1:16" x14ac:dyDescent="0.2">
      <c r="A1" s="28" t="s">
        <v>0</v>
      </c>
      <c r="B1" s="28" t="s">
        <v>1</v>
      </c>
      <c r="C1" s="28" t="s">
        <v>2</v>
      </c>
      <c r="D1" s="28" t="s">
        <v>369</v>
      </c>
      <c r="E1" s="28" t="s">
        <v>370</v>
      </c>
      <c r="F1" s="28" t="s">
        <v>371</v>
      </c>
      <c r="G1" s="28" t="s">
        <v>372</v>
      </c>
      <c r="H1" s="28" t="s">
        <v>373</v>
      </c>
      <c r="I1" s="28" t="s">
        <v>374</v>
      </c>
      <c r="J1" s="28" t="s">
        <v>4</v>
      </c>
      <c r="K1" s="28" t="s">
        <v>5</v>
      </c>
      <c r="L1" s="28" t="s">
        <v>14</v>
      </c>
      <c r="M1" s="28" t="s">
        <v>15</v>
      </c>
      <c r="N1" s="28" t="s">
        <v>16</v>
      </c>
      <c r="O1" s="28"/>
      <c r="P1" s="28"/>
    </row>
    <row r="2" spans="1:16" x14ac:dyDescent="0.2">
      <c r="A2" s="29" t="s">
        <v>17</v>
      </c>
      <c r="B2" s="29" t="s">
        <v>18</v>
      </c>
      <c r="C2" s="29" t="s">
        <v>19</v>
      </c>
      <c r="D2" s="29" t="s">
        <v>524</v>
      </c>
      <c r="E2" s="29" t="s">
        <v>525</v>
      </c>
      <c r="F2" s="30">
        <v>44323</v>
      </c>
      <c r="G2" s="29"/>
      <c r="H2" s="29"/>
      <c r="I2" s="29">
        <v>1</v>
      </c>
      <c r="J2" s="29" t="s">
        <v>59</v>
      </c>
      <c r="K2" s="29" t="s">
        <v>60</v>
      </c>
      <c r="L2" s="29" t="s">
        <v>23</v>
      </c>
      <c r="M2" s="29" t="s">
        <v>24</v>
      </c>
      <c r="N2" s="29" t="s">
        <v>19</v>
      </c>
      <c r="O2" s="29"/>
      <c r="P2" s="29"/>
    </row>
    <row r="3" spans="1:16" x14ac:dyDescent="0.2">
      <c r="A3" s="29" t="s">
        <v>17</v>
      </c>
      <c r="B3" s="29" t="s">
        <v>18</v>
      </c>
      <c r="C3" s="29" t="s">
        <v>19</v>
      </c>
      <c r="D3" s="29" t="s">
        <v>526</v>
      </c>
      <c r="E3" s="29" t="s">
        <v>527</v>
      </c>
      <c r="F3" s="30">
        <v>44322</v>
      </c>
      <c r="G3" s="29"/>
      <c r="H3" s="29">
        <v>31.009999999999998</v>
      </c>
      <c r="I3" s="29">
        <v>0</v>
      </c>
      <c r="J3" s="29" t="s">
        <v>77</v>
      </c>
      <c r="K3" s="29" t="s">
        <v>78</v>
      </c>
      <c r="L3" s="29" t="s">
        <v>23</v>
      </c>
      <c r="M3" s="29" t="s">
        <v>24</v>
      </c>
      <c r="N3" s="29" t="s">
        <v>19</v>
      </c>
      <c r="O3" s="29"/>
      <c r="P3" s="29"/>
    </row>
    <row r="4" spans="1:16" x14ac:dyDescent="0.2">
      <c r="A4" s="29" t="s">
        <v>17</v>
      </c>
      <c r="B4" s="29" t="s">
        <v>18</v>
      </c>
      <c r="C4" s="29" t="s">
        <v>19</v>
      </c>
      <c r="D4" s="29" t="s">
        <v>528</v>
      </c>
      <c r="E4" s="29" t="s">
        <v>529</v>
      </c>
      <c r="F4" s="30">
        <v>44323</v>
      </c>
      <c r="G4" s="29"/>
      <c r="H4" s="29">
        <v>6000</v>
      </c>
      <c r="I4" s="29">
        <v>0</v>
      </c>
      <c r="J4" s="29" t="s">
        <v>77</v>
      </c>
      <c r="K4" s="29" t="s">
        <v>78</v>
      </c>
      <c r="L4" s="29" t="s">
        <v>23</v>
      </c>
      <c r="M4" s="29" t="s">
        <v>24</v>
      </c>
      <c r="N4" s="29" t="s">
        <v>19</v>
      </c>
      <c r="O4" s="29"/>
      <c r="P4" s="29"/>
    </row>
    <row r="5" spans="1:16" x14ac:dyDescent="0.2">
      <c r="A5" s="29" t="s">
        <v>17</v>
      </c>
      <c r="B5" s="29" t="s">
        <v>18</v>
      </c>
      <c r="C5" s="29" t="s">
        <v>19</v>
      </c>
      <c r="D5" s="29" t="s">
        <v>530</v>
      </c>
      <c r="E5" s="29" t="s">
        <v>531</v>
      </c>
      <c r="F5" s="30">
        <v>44323</v>
      </c>
      <c r="G5" s="29"/>
      <c r="H5" s="29">
        <v>1000</v>
      </c>
      <c r="I5" s="29">
        <v>0</v>
      </c>
      <c r="J5" s="29" t="s">
        <v>77</v>
      </c>
      <c r="K5" s="29" t="s">
        <v>78</v>
      </c>
      <c r="L5" s="29" t="s">
        <v>23</v>
      </c>
      <c r="M5" s="29" t="s">
        <v>24</v>
      </c>
      <c r="N5" s="29" t="s">
        <v>19</v>
      </c>
      <c r="O5" s="29"/>
      <c r="P5" s="29"/>
    </row>
    <row r="6" spans="1:16" x14ac:dyDescent="0.2">
      <c r="A6" s="29" t="s">
        <v>17</v>
      </c>
      <c r="B6" s="29" t="s">
        <v>18</v>
      </c>
      <c r="C6" s="29" t="s">
        <v>19</v>
      </c>
      <c r="D6" s="29" t="s">
        <v>532</v>
      </c>
      <c r="E6" s="29" t="s">
        <v>533</v>
      </c>
      <c r="F6" s="30">
        <v>44322</v>
      </c>
      <c r="G6" s="29"/>
      <c r="H6" s="29">
        <v>5759</v>
      </c>
      <c r="I6" s="29">
        <v>0</v>
      </c>
      <c r="J6" s="29" t="s">
        <v>97</v>
      </c>
      <c r="K6" s="29" t="s">
        <v>98</v>
      </c>
      <c r="L6" s="29" t="s">
        <v>23</v>
      </c>
      <c r="M6" s="29" t="s">
        <v>24</v>
      </c>
      <c r="N6" s="29" t="s">
        <v>19</v>
      </c>
      <c r="O6" s="29"/>
      <c r="P6" s="29"/>
    </row>
    <row r="7" spans="1:16" x14ac:dyDescent="0.2">
      <c r="A7" s="29" t="s">
        <v>17</v>
      </c>
      <c r="B7" s="29" t="s">
        <v>18</v>
      </c>
      <c r="C7" s="29" t="s">
        <v>19</v>
      </c>
      <c r="D7" s="29" t="s">
        <v>534</v>
      </c>
      <c r="E7" s="29" t="s">
        <v>535</v>
      </c>
      <c r="F7" s="30">
        <v>44322</v>
      </c>
      <c r="G7" s="29"/>
      <c r="H7" s="29">
        <v>100</v>
      </c>
      <c r="I7" s="29">
        <v>0</v>
      </c>
      <c r="J7" s="29" t="s">
        <v>107</v>
      </c>
      <c r="K7" s="29" t="s">
        <v>108</v>
      </c>
      <c r="L7" s="29" t="s">
        <v>23</v>
      </c>
      <c r="M7" s="29" t="s">
        <v>24</v>
      </c>
      <c r="N7" s="29" t="s">
        <v>19</v>
      </c>
      <c r="O7" s="29"/>
      <c r="P7" s="29"/>
    </row>
    <row r="8" spans="1:16" x14ac:dyDescent="0.2">
      <c r="A8" s="29" t="s">
        <v>17</v>
      </c>
      <c r="B8" s="29" t="s">
        <v>18</v>
      </c>
      <c r="C8" s="29" t="s">
        <v>19</v>
      </c>
      <c r="D8" s="29" t="s">
        <v>536</v>
      </c>
      <c r="E8" s="29" t="s">
        <v>537</v>
      </c>
      <c r="F8" s="30">
        <v>44322</v>
      </c>
      <c r="G8" s="29"/>
      <c r="H8" s="29"/>
      <c r="I8" s="29">
        <v>1</v>
      </c>
      <c r="J8" s="29" t="s">
        <v>135</v>
      </c>
      <c r="K8" s="29" t="s">
        <v>136</v>
      </c>
      <c r="L8" s="29" t="s">
        <v>23</v>
      </c>
      <c r="M8" s="29" t="s">
        <v>24</v>
      </c>
      <c r="N8" s="29" t="s">
        <v>19</v>
      </c>
      <c r="O8" s="29"/>
      <c r="P8" s="29"/>
    </row>
    <row r="9" spans="1:16" x14ac:dyDescent="0.2">
      <c r="A9" s="29" t="s">
        <v>17</v>
      </c>
      <c r="B9" s="29" t="s">
        <v>18</v>
      </c>
      <c r="C9" s="29" t="s">
        <v>19</v>
      </c>
      <c r="D9" s="29" t="s">
        <v>538</v>
      </c>
      <c r="E9" s="29" t="s">
        <v>539</v>
      </c>
      <c r="F9" s="30">
        <v>44322</v>
      </c>
      <c r="G9" s="29"/>
      <c r="H9" s="29">
        <v>1</v>
      </c>
      <c r="I9" s="29">
        <v>0</v>
      </c>
      <c r="J9" s="29" t="s">
        <v>75</v>
      </c>
      <c r="K9" s="29" t="s">
        <v>76</v>
      </c>
      <c r="L9" s="29" t="s">
        <v>23</v>
      </c>
      <c r="M9" s="29" t="s">
        <v>24</v>
      </c>
      <c r="N9" s="29" t="s">
        <v>19</v>
      </c>
      <c r="O9" s="29"/>
      <c r="P9" s="29"/>
    </row>
    <row r="10" spans="1:16" x14ac:dyDescent="0.2">
      <c r="A10" s="29" t="s">
        <v>17</v>
      </c>
      <c r="B10" s="29" t="s">
        <v>18</v>
      </c>
      <c r="C10" s="29" t="s">
        <v>19</v>
      </c>
      <c r="D10" s="29" t="s">
        <v>540</v>
      </c>
      <c r="E10" s="29" t="s">
        <v>541</v>
      </c>
      <c r="F10" s="30">
        <v>44322</v>
      </c>
      <c r="G10" s="29"/>
      <c r="H10" s="29">
        <v>10200</v>
      </c>
      <c r="I10" s="29">
        <v>0</v>
      </c>
      <c r="J10" s="29" t="s">
        <v>67</v>
      </c>
      <c r="K10" s="29" t="s">
        <v>68</v>
      </c>
      <c r="L10" s="29" t="s">
        <v>23</v>
      </c>
      <c r="M10" s="29" t="s">
        <v>24</v>
      </c>
      <c r="N10" s="29" t="s">
        <v>19</v>
      </c>
      <c r="O10" s="29"/>
      <c r="P10" s="29"/>
    </row>
    <row r="11" spans="1:16" x14ac:dyDescent="0.2">
      <c r="A11" s="29" t="s">
        <v>17</v>
      </c>
      <c r="B11" s="29" t="s">
        <v>18</v>
      </c>
      <c r="C11" s="29" t="s">
        <v>19</v>
      </c>
      <c r="D11" s="29" t="s">
        <v>542</v>
      </c>
      <c r="E11" s="29" t="s">
        <v>543</v>
      </c>
      <c r="F11" s="30">
        <v>44322</v>
      </c>
      <c r="G11" s="29"/>
      <c r="H11" s="29">
        <v>18838</v>
      </c>
      <c r="I11" s="29">
        <v>0</v>
      </c>
      <c r="J11" s="29" t="s">
        <v>89</v>
      </c>
      <c r="K11" s="29" t="s">
        <v>90</v>
      </c>
      <c r="L11" s="29" t="s">
        <v>23</v>
      </c>
      <c r="M11" s="29" t="s">
        <v>24</v>
      </c>
      <c r="N11" s="29" t="s">
        <v>19</v>
      </c>
      <c r="O11" s="29"/>
      <c r="P11" s="29"/>
    </row>
    <row r="12" spans="1:16" x14ac:dyDescent="0.2">
      <c r="A12" s="29" t="s">
        <v>17</v>
      </c>
      <c r="B12" s="29" t="s">
        <v>18</v>
      </c>
      <c r="C12" s="29" t="s">
        <v>19</v>
      </c>
      <c r="D12" s="29" t="s">
        <v>544</v>
      </c>
      <c r="E12" s="29" t="s">
        <v>545</v>
      </c>
      <c r="F12" s="30">
        <v>44322</v>
      </c>
      <c r="G12" s="29"/>
      <c r="H12" s="29">
        <v>4976</v>
      </c>
      <c r="I12" s="29">
        <v>0</v>
      </c>
      <c r="J12" s="29" t="s">
        <v>59</v>
      </c>
      <c r="K12" s="29" t="s">
        <v>60</v>
      </c>
      <c r="L12" s="29" t="s">
        <v>23</v>
      </c>
      <c r="M12" s="29" t="s">
        <v>24</v>
      </c>
      <c r="N12" s="29" t="s">
        <v>19</v>
      </c>
      <c r="O12" s="29"/>
      <c r="P12" s="29"/>
    </row>
    <row r="13" spans="1:16" x14ac:dyDescent="0.2">
      <c r="A13" s="29" t="s">
        <v>17</v>
      </c>
      <c r="B13" s="29" t="s">
        <v>18</v>
      </c>
      <c r="C13" s="29" t="s">
        <v>19</v>
      </c>
      <c r="D13" s="29" t="s">
        <v>546</v>
      </c>
      <c r="E13" s="29" t="s">
        <v>547</v>
      </c>
      <c r="F13" s="30">
        <v>44323</v>
      </c>
      <c r="G13" s="29"/>
      <c r="H13" s="29">
        <v>5000</v>
      </c>
      <c r="I13" s="29">
        <v>0</v>
      </c>
      <c r="J13" s="29" t="s">
        <v>107</v>
      </c>
      <c r="K13" s="29" t="s">
        <v>108</v>
      </c>
      <c r="L13" s="29" t="s">
        <v>23</v>
      </c>
      <c r="M13" s="29" t="s">
        <v>24</v>
      </c>
      <c r="N13" s="29" t="s">
        <v>19</v>
      </c>
      <c r="O13" s="29"/>
      <c r="P13" s="29"/>
    </row>
    <row r="14" spans="1:16" x14ac:dyDescent="0.2">
      <c r="A14" s="29" t="s">
        <v>17</v>
      </c>
      <c r="B14" s="29" t="s">
        <v>18</v>
      </c>
      <c r="C14" s="29" t="s">
        <v>19</v>
      </c>
      <c r="D14" s="29" t="s">
        <v>548</v>
      </c>
      <c r="E14" s="29" t="s">
        <v>549</v>
      </c>
      <c r="F14" s="30">
        <v>44323</v>
      </c>
      <c r="G14" s="29"/>
      <c r="H14" s="29">
        <v>100</v>
      </c>
      <c r="I14" s="29">
        <v>0</v>
      </c>
      <c r="J14" s="29" t="s">
        <v>125</v>
      </c>
      <c r="K14" s="29" t="s">
        <v>126</v>
      </c>
      <c r="L14" s="29" t="s">
        <v>23</v>
      </c>
      <c r="M14" s="29" t="s">
        <v>24</v>
      </c>
      <c r="N14" s="29" t="s">
        <v>19</v>
      </c>
      <c r="O14" s="29"/>
      <c r="P14" s="29"/>
    </row>
    <row r="15" spans="1:16" x14ac:dyDescent="0.2">
      <c r="A15" s="29" t="s">
        <v>17</v>
      </c>
      <c r="B15" s="29" t="s">
        <v>18</v>
      </c>
      <c r="C15" s="29" t="s">
        <v>19</v>
      </c>
      <c r="D15" s="29" t="s">
        <v>550</v>
      </c>
      <c r="E15" s="29" t="s">
        <v>551</v>
      </c>
      <c r="F15" s="30">
        <v>44323</v>
      </c>
      <c r="G15" s="29"/>
      <c r="H15" s="29">
        <v>33297</v>
      </c>
      <c r="I15" s="29">
        <v>0</v>
      </c>
      <c r="J15" s="29" t="s">
        <v>61</v>
      </c>
      <c r="K15" s="29" t="s">
        <v>62</v>
      </c>
      <c r="L15" s="29" t="s">
        <v>23</v>
      </c>
      <c r="M15" s="29" t="s">
        <v>24</v>
      </c>
      <c r="N15" s="29" t="s">
        <v>19</v>
      </c>
      <c r="O15" s="29"/>
      <c r="P15" s="29"/>
    </row>
    <row r="16" spans="1:16" x14ac:dyDescent="0.2">
      <c r="A16" s="29" t="s">
        <v>17</v>
      </c>
      <c r="B16" s="29" t="s">
        <v>18</v>
      </c>
      <c r="C16" s="29" t="s">
        <v>19</v>
      </c>
      <c r="D16" s="29" t="s">
        <v>552</v>
      </c>
      <c r="E16" s="29" t="s">
        <v>553</v>
      </c>
      <c r="F16" s="30">
        <v>44323</v>
      </c>
      <c r="G16" s="29"/>
      <c r="H16" s="29">
        <v>27705</v>
      </c>
      <c r="I16" s="29">
        <v>0</v>
      </c>
      <c r="J16" s="29" t="s">
        <v>39</v>
      </c>
      <c r="K16" s="29" t="s">
        <v>40</v>
      </c>
      <c r="L16" s="29" t="s">
        <v>23</v>
      </c>
      <c r="M16" s="29" t="s">
        <v>24</v>
      </c>
      <c r="N16" s="29" t="s">
        <v>19</v>
      </c>
      <c r="O16" s="29"/>
      <c r="P16" s="29"/>
    </row>
    <row r="17" spans="1:16" x14ac:dyDescent="0.2">
      <c r="A17" s="29" t="s">
        <v>17</v>
      </c>
      <c r="B17" s="29" t="s">
        <v>18</v>
      </c>
      <c r="C17" s="29" t="s">
        <v>19</v>
      </c>
      <c r="D17" s="29" t="s">
        <v>554</v>
      </c>
      <c r="E17" s="29" t="s">
        <v>555</v>
      </c>
      <c r="F17" s="30">
        <v>44323</v>
      </c>
      <c r="G17" s="29"/>
      <c r="H17" s="29"/>
      <c r="I17" s="29">
        <v>1</v>
      </c>
      <c r="J17" s="29" t="s">
        <v>95</v>
      </c>
      <c r="K17" s="29" t="s">
        <v>96</v>
      </c>
      <c r="L17" s="29" t="s">
        <v>23</v>
      </c>
      <c r="M17" s="29" t="s">
        <v>24</v>
      </c>
      <c r="N17" s="29" t="s">
        <v>19</v>
      </c>
      <c r="O17" s="29"/>
      <c r="P17" s="29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65FD-D492-4209-A2DB-3548BE48B39F}">
  <sheetPr codeName="Sheet7"/>
  <dimension ref="A1:P4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1" bestFit="1" customWidth="1"/>
    <col min="3" max="3" width="13" bestFit="1" customWidth="1"/>
    <col min="4" max="4" width="22.75" bestFit="1" customWidth="1"/>
    <col min="5" max="5" width="17.25" bestFit="1" customWidth="1"/>
    <col min="8" max="8" width="9.5" bestFit="1" customWidth="1"/>
    <col min="9" max="10" width="7.125" bestFit="1" customWidth="1"/>
    <col min="11" max="11" width="9.5" bestFit="1" customWidth="1"/>
    <col min="12" max="12" width="12.25" bestFit="1" customWidth="1"/>
    <col min="13" max="13" width="5.25" bestFit="1" customWidth="1"/>
    <col min="14" max="14" width="13" bestFit="1" customWidth="1"/>
  </cols>
  <sheetData>
    <row r="1" spans="1:16" x14ac:dyDescent="0.2">
      <c r="A1" s="28" t="s">
        <v>0</v>
      </c>
      <c r="B1" s="28" t="s">
        <v>1</v>
      </c>
      <c r="C1" s="28" t="s">
        <v>2</v>
      </c>
      <c r="D1" s="28" t="s">
        <v>369</v>
      </c>
      <c r="E1" s="28" t="s">
        <v>370</v>
      </c>
      <c r="F1" s="28" t="s">
        <v>371</v>
      </c>
      <c r="G1" s="28" t="s">
        <v>372</v>
      </c>
      <c r="H1" s="28" t="s">
        <v>373</v>
      </c>
      <c r="I1" s="28" t="s">
        <v>374</v>
      </c>
      <c r="J1" s="28" t="s">
        <v>4</v>
      </c>
      <c r="K1" s="28" t="s">
        <v>5</v>
      </c>
      <c r="L1" s="28" t="s">
        <v>14</v>
      </c>
      <c r="M1" s="28" t="s">
        <v>15</v>
      </c>
      <c r="N1" s="28" t="s">
        <v>16</v>
      </c>
      <c r="O1" s="28"/>
      <c r="P1" s="28"/>
    </row>
    <row r="2" spans="1:16" x14ac:dyDescent="0.2">
      <c r="A2" s="29" t="s">
        <v>17</v>
      </c>
      <c r="B2" s="29" t="s">
        <v>274</v>
      </c>
      <c r="C2" s="29" t="s">
        <v>19</v>
      </c>
      <c r="D2" s="29" t="s">
        <v>556</v>
      </c>
      <c r="E2" s="29" t="s">
        <v>557</v>
      </c>
      <c r="F2" s="30">
        <v>44323</v>
      </c>
      <c r="G2" s="29" t="s">
        <v>377</v>
      </c>
      <c r="H2" s="29">
        <v>0.01</v>
      </c>
      <c r="I2" s="29">
        <v>0</v>
      </c>
      <c r="J2" s="29" t="s">
        <v>43</v>
      </c>
      <c r="K2" s="29" t="s">
        <v>44</v>
      </c>
      <c r="L2" s="29" t="s">
        <v>277</v>
      </c>
      <c r="M2" s="29" t="s">
        <v>24</v>
      </c>
      <c r="N2" s="29" t="s">
        <v>19</v>
      </c>
      <c r="O2" s="29"/>
      <c r="P2" s="29"/>
    </row>
    <row r="3" spans="1:16" x14ac:dyDescent="0.2">
      <c r="A3" s="29" t="s">
        <v>17</v>
      </c>
      <c r="B3" s="29" t="s">
        <v>274</v>
      </c>
      <c r="C3" s="29" t="s">
        <v>19</v>
      </c>
      <c r="D3" s="29" t="s">
        <v>558</v>
      </c>
      <c r="E3" s="29" t="s">
        <v>559</v>
      </c>
      <c r="F3" s="30">
        <v>44323</v>
      </c>
      <c r="G3" s="29" t="s">
        <v>377</v>
      </c>
      <c r="H3" s="29">
        <v>5500</v>
      </c>
      <c r="I3" s="29">
        <v>0</v>
      </c>
      <c r="J3" s="29" t="s">
        <v>127</v>
      </c>
      <c r="K3" s="29" t="s">
        <v>128</v>
      </c>
      <c r="L3" s="29" t="s">
        <v>277</v>
      </c>
      <c r="M3" s="29" t="s">
        <v>24</v>
      </c>
      <c r="N3" s="29" t="s">
        <v>19</v>
      </c>
      <c r="O3" s="29"/>
      <c r="P3" s="29"/>
    </row>
    <row r="4" spans="1:16" x14ac:dyDescent="0.2">
      <c r="A4" s="29" t="s">
        <v>17</v>
      </c>
      <c r="B4" s="29" t="s">
        <v>274</v>
      </c>
      <c r="C4" s="29" t="s">
        <v>19</v>
      </c>
      <c r="D4" s="29" t="s">
        <v>560</v>
      </c>
      <c r="E4" s="29" t="s">
        <v>561</v>
      </c>
      <c r="F4" s="30">
        <v>44317</v>
      </c>
      <c r="G4" s="29" t="s">
        <v>377</v>
      </c>
      <c r="H4" s="29">
        <v>21511.879999999997</v>
      </c>
      <c r="I4" s="29">
        <v>0</v>
      </c>
      <c r="J4" s="29" t="s">
        <v>197</v>
      </c>
      <c r="K4" s="29" t="s">
        <v>198</v>
      </c>
      <c r="L4" s="29" t="s">
        <v>277</v>
      </c>
      <c r="M4" s="29" t="s">
        <v>24</v>
      </c>
      <c r="N4" s="29" t="s">
        <v>19</v>
      </c>
      <c r="O4" s="29"/>
      <c r="P4" s="2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统计口径</vt:lpstr>
      <vt:lpstr>拉卡拉大POS机台均</vt:lpstr>
      <vt:lpstr>拉卡拉电签4G版台均</vt:lpstr>
      <vt:lpstr>拉卡拉电签台均</vt:lpstr>
      <vt:lpstr>拉卡拉智能机台均</vt:lpstr>
      <vt:lpstr>拉卡拉电签4G版明细</vt:lpstr>
      <vt:lpstr>拉卡拉大POS机明细</vt:lpstr>
      <vt:lpstr>拉卡拉电签明细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2021-05-11T03:41:17Z</dcterms:created>
  <dcterms:modified xsi:type="dcterms:W3CDTF">2021-05-11T03:41:18Z</dcterms:modified>
</cp:coreProperties>
</file>